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Fiap\Graduacao_2019\Fundamentals\1sem\Aula 5\"/>
    </mc:Choice>
  </mc:AlternateContent>
  <bookViews>
    <workbookView xWindow="0" yWindow="0" windowWidth="23385" windowHeight="12150"/>
  </bookViews>
  <sheets>
    <sheet name="derivadas" sheetId="1" r:id="rId1"/>
    <sheet name="regressao" sheetId="2" r:id="rId2"/>
    <sheet name="dados" sheetId="3" r:id="rId3"/>
  </sheets>
  <definedNames>
    <definedName name="solver_adj" localSheetId="0" hidden="1">derivadas!$J$5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derivadas!$L$5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2" l="1"/>
  <c r="C22" i="2" s="1"/>
  <c r="A23" i="2"/>
  <c r="C23" i="2" s="1"/>
  <c r="A24" i="2"/>
  <c r="C24" i="2" s="1"/>
  <c r="A25" i="2"/>
  <c r="C25" i="2" s="1"/>
  <c r="A3" i="2"/>
  <c r="C3" i="2" s="1"/>
  <c r="A4" i="2"/>
  <c r="C4" i="2" s="1"/>
  <c r="A5" i="2"/>
  <c r="C5" i="2" s="1"/>
  <c r="A6" i="2"/>
  <c r="C6" i="2" s="1"/>
  <c r="A7" i="2"/>
  <c r="C7" i="2" s="1"/>
  <c r="A8" i="2"/>
  <c r="C8" i="2" s="1"/>
  <c r="A9" i="2"/>
  <c r="C9" i="2" s="1"/>
  <c r="A10" i="2"/>
  <c r="C10" i="2" s="1"/>
  <c r="A11" i="2"/>
  <c r="C11" i="2" s="1"/>
  <c r="A12" i="2"/>
  <c r="C12" i="2" s="1"/>
  <c r="A13" i="2"/>
  <c r="C13" i="2" s="1"/>
  <c r="A14" i="2"/>
  <c r="C14" i="2" s="1"/>
  <c r="A15" i="2"/>
  <c r="C15" i="2" s="1"/>
  <c r="A16" i="2"/>
  <c r="C16" i="2" s="1"/>
  <c r="A17" i="2"/>
  <c r="C17" i="2" s="1"/>
  <c r="A18" i="2"/>
  <c r="C18" i="2" s="1"/>
  <c r="A19" i="2"/>
  <c r="C19" i="2" s="1"/>
  <c r="A20" i="2"/>
  <c r="C20" i="2" s="1"/>
  <c r="A21" i="2"/>
  <c r="C21" i="2" s="1"/>
  <c r="A2" i="2"/>
  <c r="C2" i="2" s="1"/>
  <c r="K5" i="1" l="1"/>
  <c r="P2" i="1"/>
  <c r="Q2" i="1"/>
  <c r="L5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<sst xmlns="http://schemas.openxmlformats.org/spreadsheetml/2006/main" count="23" uniqueCount="17">
  <si>
    <t>alpha</t>
  </si>
  <si>
    <t>beta</t>
  </si>
  <si>
    <t>Receita</t>
  </si>
  <si>
    <t>Custo</t>
  </si>
  <si>
    <t>Lucro</t>
  </si>
  <si>
    <t>melhor preço</t>
  </si>
  <si>
    <t>máximo lucro</t>
  </si>
  <si>
    <t>preco proposto</t>
  </si>
  <si>
    <t>Lucro esperado</t>
  </si>
  <si>
    <t>Preco</t>
  </si>
  <si>
    <t>Quantidade</t>
  </si>
  <si>
    <t>máxima receita</t>
  </si>
  <si>
    <t>Receita Esperada</t>
  </si>
  <si>
    <t>Erro</t>
  </si>
  <si>
    <t>max</t>
  </si>
  <si>
    <t>min</t>
  </si>
  <si>
    <t>custo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</si>
</sst>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x preço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derivadas!$C$1</c:f>
              <c:strCache>
                <c:ptCount val="1"/>
                <c:pt idx="0">
                  <c:v>Receita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derivadas!$A$2:$A$21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derivadas!$C$2:$C$21</c:f>
              <c:numCache>
                <c:formatCode>0.00</c:formatCode>
                <c:ptCount val="20"/>
                <c:pt idx="0">
                  <c:v>48</c:v>
                </c:pt>
                <c:pt idx="1">
                  <c:v>92</c:v>
                </c:pt>
                <c:pt idx="2">
                  <c:v>132</c:v>
                </c:pt>
                <c:pt idx="3">
                  <c:v>168</c:v>
                </c:pt>
                <c:pt idx="4">
                  <c:v>200</c:v>
                </c:pt>
                <c:pt idx="5">
                  <c:v>228</c:v>
                </c:pt>
                <c:pt idx="6">
                  <c:v>252</c:v>
                </c:pt>
                <c:pt idx="7">
                  <c:v>272</c:v>
                </c:pt>
                <c:pt idx="8">
                  <c:v>288</c:v>
                </c:pt>
                <c:pt idx="9">
                  <c:v>300</c:v>
                </c:pt>
                <c:pt idx="10">
                  <c:v>308</c:v>
                </c:pt>
                <c:pt idx="11">
                  <c:v>312</c:v>
                </c:pt>
                <c:pt idx="12">
                  <c:v>312</c:v>
                </c:pt>
                <c:pt idx="13">
                  <c:v>308</c:v>
                </c:pt>
                <c:pt idx="14">
                  <c:v>300</c:v>
                </c:pt>
                <c:pt idx="15">
                  <c:v>288</c:v>
                </c:pt>
                <c:pt idx="16">
                  <c:v>272</c:v>
                </c:pt>
                <c:pt idx="17">
                  <c:v>252</c:v>
                </c:pt>
                <c:pt idx="18">
                  <c:v>228</c:v>
                </c:pt>
                <c:pt idx="1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2-4A40-8718-04D614732A5A}"/>
            </c:ext>
          </c:extLst>
        </c:ser>
        <c:ser>
          <c:idx val="1"/>
          <c:order val="1"/>
          <c:tx>
            <c:v>Teste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3"/>
            <c:spPr>
              <a:noFill/>
              <a:ln w="22225">
                <a:solidFill>
                  <a:schemeClr val="accent2"/>
                </a:solidFill>
              </a:ln>
              <a:effectLst/>
            </c:spPr>
          </c:marker>
          <c:xVal>
            <c:numRef>
              <c:f>derivadas!$O$2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derivadas!$P$2</c:f>
              <c:numCache>
                <c:formatCode>General</c:formatCode>
                <c:ptCount val="1"/>
                <c:pt idx="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D2-4A40-8718-04D614732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59071"/>
        <c:axId val="1263371135"/>
      </c:scatterChart>
      <c:valAx>
        <c:axId val="126335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3371135"/>
        <c:crosses val="autoZero"/>
        <c:crossBetween val="midCat"/>
      </c:valAx>
      <c:valAx>
        <c:axId val="12633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Receita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335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x preço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derivadas!$E$1</c:f>
              <c:strCache>
                <c:ptCount val="1"/>
                <c:pt idx="0">
                  <c:v>Lucro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derivadas!$A$2:$A$21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derivadas!$E$2:$E$21</c:f>
              <c:numCache>
                <c:formatCode>0.00</c:formatCode>
                <c:ptCount val="20"/>
                <c:pt idx="0">
                  <c:v>38.4</c:v>
                </c:pt>
                <c:pt idx="1">
                  <c:v>82.8</c:v>
                </c:pt>
                <c:pt idx="2">
                  <c:v>123.2</c:v>
                </c:pt>
                <c:pt idx="3">
                  <c:v>159.6</c:v>
                </c:pt>
                <c:pt idx="4">
                  <c:v>192</c:v>
                </c:pt>
                <c:pt idx="5">
                  <c:v>220.4</c:v>
                </c:pt>
                <c:pt idx="6">
                  <c:v>244.8</c:v>
                </c:pt>
                <c:pt idx="7">
                  <c:v>265.2</c:v>
                </c:pt>
                <c:pt idx="8">
                  <c:v>281.60000000000002</c:v>
                </c:pt>
                <c:pt idx="9">
                  <c:v>294</c:v>
                </c:pt>
                <c:pt idx="10">
                  <c:v>302.39999999999998</c:v>
                </c:pt>
                <c:pt idx="11">
                  <c:v>306.8</c:v>
                </c:pt>
                <c:pt idx="12">
                  <c:v>307.2</c:v>
                </c:pt>
                <c:pt idx="13">
                  <c:v>303.60000000000002</c:v>
                </c:pt>
                <c:pt idx="14">
                  <c:v>296</c:v>
                </c:pt>
                <c:pt idx="15">
                  <c:v>284.39999999999998</c:v>
                </c:pt>
                <c:pt idx="16">
                  <c:v>268.8</c:v>
                </c:pt>
                <c:pt idx="17">
                  <c:v>249.2</c:v>
                </c:pt>
                <c:pt idx="18">
                  <c:v>225.6</c:v>
                </c:pt>
                <c:pt idx="19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7-4228-A7AC-F8466CF3044A}"/>
            </c:ext>
          </c:extLst>
        </c:ser>
        <c:ser>
          <c:idx val="1"/>
          <c:order val="1"/>
          <c:tx>
            <c:v>Teste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derivadas!$O$2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derivadas!$Q$2</c:f>
              <c:numCache>
                <c:formatCode>General</c:formatCode>
                <c:ptCount val="1"/>
                <c:pt idx="0">
                  <c:v>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67-4228-A7AC-F8466CF3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59071"/>
        <c:axId val="1263371135"/>
      </c:scatterChart>
      <c:valAx>
        <c:axId val="126335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3371135"/>
        <c:crosses val="autoZero"/>
        <c:crossBetween val="midCat"/>
      </c:valAx>
      <c:valAx>
        <c:axId val="12633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Lucro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335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regressao!$B$2:$B$201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regressao!$C$2:$C$201</c:f>
              <c:numCache>
                <c:formatCode>0</c:formatCode>
                <c:ptCount val="200"/>
                <c:pt idx="0">
                  <c:v>49</c:v>
                </c:pt>
                <c:pt idx="1">
                  <c:v>47</c:v>
                </c:pt>
                <c:pt idx="2">
                  <c:v>43</c:v>
                </c:pt>
                <c:pt idx="3">
                  <c:v>40</c:v>
                </c:pt>
                <c:pt idx="4">
                  <c:v>41</c:v>
                </c:pt>
                <c:pt idx="5">
                  <c:v>39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30</c:v>
                </c:pt>
                <c:pt idx="10">
                  <c:v>29</c:v>
                </c:pt>
                <c:pt idx="11">
                  <c:v>23</c:v>
                </c:pt>
                <c:pt idx="12">
                  <c:v>22</c:v>
                </c:pt>
                <c:pt idx="13">
                  <c:v>23</c:v>
                </c:pt>
                <c:pt idx="14">
                  <c:v>21</c:v>
                </c:pt>
                <c:pt idx="15">
                  <c:v>15</c:v>
                </c:pt>
                <c:pt idx="16">
                  <c:v>18</c:v>
                </c:pt>
                <c:pt idx="17">
                  <c:v>16</c:v>
                </c:pt>
                <c:pt idx="18">
                  <c:v>10</c:v>
                </c:pt>
                <c:pt idx="19">
                  <c:v>12</c:v>
                </c:pt>
                <c:pt idx="20">
                  <c:v>9</c:v>
                </c:pt>
                <c:pt idx="21">
                  <c:v>4</c:v>
                </c:pt>
                <c:pt idx="22">
                  <c:v>6</c:v>
                </c:pt>
                <c:pt idx="2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4-47BF-BB31-A2945D5A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29727"/>
        <c:axId val="86528895"/>
      </c:scatterChart>
      <c:valAx>
        <c:axId val="8652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28895"/>
        <c:crosses val="autoZero"/>
        <c:crossBetween val="midCat"/>
      </c:valAx>
      <c:valAx>
        <c:axId val="865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2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3</xdr:row>
      <xdr:rowOff>0</xdr:rowOff>
    </xdr:from>
    <xdr:to>
      <xdr:col>14</xdr:col>
      <xdr:colOff>962025</xdr:colOff>
      <xdr:row>17</xdr:row>
      <xdr:rowOff>76200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18</xdr:row>
      <xdr:rowOff>0</xdr:rowOff>
    </xdr:from>
    <xdr:to>
      <xdr:col>15</xdr:col>
      <xdr:colOff>0</xdr:colOff>
      <xdr:row>32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4</xdr:row>
      <xdr:rowOff>123825</xdr:rowOff>
    </xdr:from>
    <xdr:to>
      <xdr:col>13</xdr:col>
      <xdr:colOff>28575</xdr:colOff>
      <xdr:row>21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F1" sqref="F1"/>
    </sheetView>
  </sheetViews>
  <sheetFormatPr defaultRowHeight="15" x14ac:dyDescent="0.25"/>
  <cols>
    <col min="2" max="2" width="11.140625" bestFit="1" customWidth="1"/>
    <col min="10" max="10" width="12.85546875" bestFit="1" customWidth="1"/>
    <col min="11" max="11" width="14.7109375" bestFit="1" customWidth="1"/>
    <col min="12" max="12" width="13.28515625" bestFit="1" customWidth="1"/>
    <col min="14" max="14" width="12.85546875" bestFit="1" customWidth="1"/>
    <col min="15" max="15" width="14.5703125" bestFit="1" customWidth="1"/>
    <col min="16" max="16" width="16.140625" bestFit="1" customWidth="1"/>
    <col min="17" max="18" width="14.5703125" bestFit="1" customWidth="1"/>
  </cols>
  <sheetData>
    <row r="1" spans="1:17" x14ac:dyDescent="0.25">
      <c r="A1" s="5" t="s">
        <v>9</v>
      </c>
      <c r="B1" s="5" t="s">
        <v>10</v>
      </c>
      <c r="C1" s="5" t="s">
        <v>2</v>
      </c>
      <c r="D1" s="5" t="s">
        <v>3</v>
      </c>
      <c r="E1" s="5" t="s">
        <v>4</v>
      </c>
      <c r="J1" s="5" t="s">
        <v>0</v>
      </c>
      <c r="K1" s="5" t="s">
        <v>1</v>
      </c>
      <c r="L1" s="5" t="s">
        <v>16</v>
      </c>
      <c r="O1" s="5" t="s">
        <v>7</v>
      </c>
      <c r="P1" s="5" t="s">
        <v>12</v>
      </c>
      <c r="Q1" s="5" t="s">
        <v>8</v>
      </c>
    </row>
    <row r="2" spans="1:17" x14ac:dyDescent="0.25">
      <c r="A2" s="2">
        <v>1</v>
      </c>
      <c r="B2" s="3">
        <f>$J$2-($K$2*A2)</f>
        <v>48</v>
      </c>
      <c r="C2" s="4">
        <f>A2*B2</f>
        <v>48</v>
      </c>
      <c r="D2" s="4">
        <f>$L$2*B2</f>
        <v>9.6000000000000014</v>
      </c>
      <c r="E2" s="4">
        <f>C2-D2</f>
        <v>38.4</v>
      </c>
      <c r="J2" s="6">
        <v>50</v>
      </c>
      <c r="K2" s="6">
        <v>2</v>
      </c>
      <c r="L2" s="6">
        <v>0.2</v>
      </c>
      <c r="O2" s="7">
        <v>5</v>
      </c>
      <c r="P2" s="8">
        <f>(J2*O2)-(K2*O2^2)</f>
        <v>200</v>
      </c>
      <c r="Q2" s="8">
        <f>(J2*O2)-(K2*O2^2)-(L2*J2)+(L2*K2*O2)</f>
        <v>192</v>
      </c>
    </row>
    <row r="3" spans="1:17" x14ac:dyDescent="0.25">
      <c r="A3" s="2">
        <v>2</v>
      </c>
      <c r="B3" s="3">
        <f t="shared" ref="B3:B21" si="0">$J$2-($K$2*A3)</f>
        <v>46</v>
      </c>
      <c r="C3" s="4">
        <f t="shared" ref="C3:C21" si="1">A3*B3</f>
        <v>92</v>
      </c>
      <c r="D3" s="4">
        <f t="shared" ref="D3:D21" si="2">$L$2*B3</f>
        <v>9.2000000000000011</v>
      </c>
      <c r="E3" s="4">
        <f t="shared" ref="E3:E21" si="3">C3-D3</f>
        <v>82.8</v>
      </c>
      <c r="F3" s="1"/>
    </row>
    <row r="4" spans="1:17" x14ac:dyDescent="0.25">
      <c r="A4" s="2">
        <v>3</v>
      </c>
      <c r="B4" s="3">
        <f t="shared" si="0"/>
        <v>44</v>
      </c>
      <c r="C4" s="4">
        <f t="shared" si="1"/>
        <v>132</v>
      </c>
      <c r="D4" s="4">
        <f t="shared" si="2"/>
        <v>8.8000000000000007</v>
      </c>
      <c r="E4" s="4">
        <f t="shared" si="3"/>
        <v>123.2</v>
      </c>
      <c r="F4" s="1"/>
      <c r="J4" t="s">
        <v>5</v>
      </c>
      <c r="K4" t="s">
        <v>11</v>
      </c>
      <c r="L4" t="s">
        <v>6</v>
      </c>
    </row>
    <row r="5" spans="1:17" x14ac:dyDescent="0.25">
      <c r="A5" s="2">
        <v>4</v>
      </c>
      <c r="B5" s="3">
        <f t="shared" si="0"/>
        <v>42</v>
      </c>
      <c r="C5" s="4">
        <f t="shared" si="1"/>
        <v>168</v>
      </c>
      <c r="D5" s="4">
        <f t="shared" si="2"/>
        <v>8.4</v>
      </c>
      <c r="E5" s="4">
        <f t="shared" si="3"/>
        <v>159.6</v>
      </c>
      <c r="F5" s="1"/>
      <c r="J5" s="1">
        <v>12.599999968131387</v>
      </c>
      <c r="K5">
        <f>(J2*J5)-(K2*J5^2)</f>
        <v>312.4800000127475</v>
      </c>
      <c r="L5">
        <f>(J2*J5)-(K2*J5^2)-(L2*J2)+(L2*K2*J5)</f>
        <v>307.52000000000004</v>
      </c>
    </row>
    <row r="6" spans="1:17" x14ac:dyDescent="0.25">
      <c r="A6" s="2">
        <v>5</v>
      </c>
      <c r="B6" s="3">
        <f t="shared" si="0"/>
        <v>40</v>
      </c>
      <c r="C6" s="4">
        <f t="shared" si="1"/>
        <v>200</v>
      </c>
      <c r="D6" s="4">
        <f t="shared" si="2"/>
        <v>8</v>
      </c>
      <c r="E6" s="4">
        <f t="shared" si="3"/>
        <v>192</v>
      </c>
      <c r="F6" s="1"/>
    </row>
    <row r="7" spans="1:17" x14ac:dyDescent="0.25">
      <c r="A7" s="2">
        <v>6</v>
      </c>
      <c r="B7" s="3">
        <f t="shared" si="0"/>
        <v>38</v>
      </c>
      <c r="C7" s="4">
        <f t="shared" si="1"/>
        <v>228</v>
      </c>
      <c r="D7" s="4">
        <f t="shared" si="2"/>
        <v>7.6000000000000005</v>
      </c>
      <c r="E7" s="4">
        <f t="shared" si="3"/>
        <v>220.4</v>
      </c>
      <c r="F7" s="1"/>
    </row>
    <row r="8" spans="1:17" x14ac:dyDescent="0.25">
      <c r="A8" s="2">
        <v>7</v>
      </c>
      <c r="B8" s="3">
        <f t="shared" si="0"/>
        <v>36</v>
      </c>
      <c r="C8" s="4">
        <f t="shared" si="1"/>
        <v>252</v>
      </c>
      <c r="D8" s="4">
        <f t="shared" si="2"/>
        <v>7.2</v>
      </c>
      <c r="E8" s="4">
        <f t="shared" si="3"/>
        <v>244.8</v>
      </c>
      <c r="F8" s="1"/>
    </row>
    <row r="9" spans="1:17" x14ac:dyDescent="0.25">
      <c r="A9" s="2">
        <v>8</v>
      </c>
      <c r="B9" s="3">
        <f t="shared" si="0"/>
        <v>34</v>
      </c>
      <c r="C9" s="4">
        <f t="shared" si="1"/>
        <v>272</v>
      </c>
      <c r="D9" s="4">
        <f t="shared" si="2"/>
        <v>6.8000000000000007</v>
      </c>
      <c r="E9" s="4">
        <f t="shared" si="3"/>
        <v>265.2</v>
      </c>
      <c r="F9" s="1"/>
    </row>
    <row r="10" spans="1:17" x14ac:dyDescent="0.25">
      <c r="A10" s="2">
        <v>9</v>
      </c>
      <c r="B10" s="3">
        <f t="shared" si="0"/>
        <v>32</v>
      </c>
      <c r="C10" s="4">
        <f t="shared" si="1"/>
        <v>288</v>
      </c>
      <c r="D10" s="4">
        <f t="shared" si="2"/>
        <v>6.4</v>
      </c>
      <c r="E10" s="4">
        <f t="shared" si="3"/>
        <v>281.60000000000002</v>
      </c>
      <c r="F10" s="1"/>
    </row>
    <row r="11" spans="1:17" x14ac:dyDescent="0.25">
      <c r="A11" s="2">
        <v>10</v>
      </c>
      <c r="B11" s="3">
        <f t="shared" si="0"/>
        <v>30</v>
      </c>
      <c r="C11" s="4">
        <f t="shared" si="1"/>
        <v>300</v>
      </c>
      <c r="D11" s="4">
        <f t="shared" si="2"/>
        <v>6</v>
      </c>
      <c r="E11" s="4">
        <f t="shared" si="3"/>
        <v>294</v>
      </c>
      <c r="F11" s="1"/>
    </row>
    <row r="12" spans="1:17" x14ac:dyDescent="0.25">
      <c r="A12" s="2">
        <v>11</v>
      </c>
      <c r="B12" s="3">
        <f t="shared" si="0"/>
        <v>28</v>
      </c>
      <c r="C12" s="4">
        <f t="shared" si="1"/>
        <v>308</v>
      </c>
      <c r="D12" s="4">
        <f t="shared" si="2"/>
        <v>5.6000000000000005</v>
      </c>
      <c r="E12" s="4">
        <f t="shared" si="3"/>
        <v>302.39999999999998</v>
      </c>
      <c r="F12" s="1"/>
    </row>
    <row r="13" spans="1:17" x14ac:dyDescent="0.25">
      <c r="A13" s="5">
        <v>12</v>
      </c>
      <c r="B13" s="9">
        <f t="shared" si="0"/>
        <v>26</v>
      </c>
      <c r="C13" s="10">
        <f t="shared" si="1"/>
        <v>312</v>
      </c>
      <c r="D13" s="10">
        <f t="shared" si="2"/>
        <v>5.2</v>
      </c>
      <c r="E13" s="10">
        <f t="shared" si="3"/>
        <v>306.8</v>
      </c>
      <c r="F13" s="1"/>
    </row>
    <row r="14" spans="1:17" x14ac:dyDescent="0.25">
      <c r="A14" s="5">
        <v>13</v>
      </c>
      <c r="B14" s="9">
        <f t="shared" si="0"/>
        <v>24</v>
      </c>
      <c r="C14" s="10">
        <f t="shared" si="1"/>
        <v>312</v>
      </c>
      <c r="D14" s="10">
        <f t="shared" si="2"/>
        <v>4.8000000000000007</v>
      </c>
      <c r="E14" s="10">
        <f t="shared" si="3"/>
        <v>307.2</v>
      </c>
      <c r="F14" s="1"/>
    </row>
    <row r="15" spans="1:17" x14ac:dyDescent="0.25">
      <c r="A15" s="2">
        <v>14</v>
      </c>
      <c r="B15" s="3">
        <f t="shared" si="0"/>
        <v>22</v>
      </c>
      <c r="C15" s="4">
        <f t="shared" si="1"/>
        <v>308</v>
      </c>
      <c r="D15" s="4">
        <f t="shared" si="2"/>
        <v>4.4000000000000004</v>
      </c>
      <c r="E15" s="4">
        <f t="shared" si="3"/>
        <v>303.60000000000002</v>
      </c>
      <c r="F15" s="1"/>
    </row>
    <row r="16" spans="1:17" x14ac:dyDescent="0.25">
      <c r="A16" s="2">
        <v>15</v>
      </c>
      <c r="B16" s="3">
        <f t="shared" si="0"/>
        <v>20</v>
      </c>
      <c r="C16" s="4">
        <f t="shared" si="1"/>
        <v>300</v>
      </c>
      <c r="D16" s="4">
        <f t="shared" si="2"/>
        <v>4</v>
      </c>
      <c r="E16" s="4">
        <f t="shared" si="3"/>
        <v>296</v>
      </c>
      <c r="F16" s="1"/>
    </row>
    <row r="17" spans="1:6" x14ac:dyDescent="0.25">
      <c r="A17" s="2">
        <v>16</v>
      </c>
      <c r="B17" s="3">
        <f t="shared" si="0"/>
        <v>18</v>
      </c>
      <c r="C17" s="4">
        <f t="shared" si="1"/>
        <v>288</v>
      </c>
      <c r="D17" s="4">
        <f t="shared" si="2"/>
        <v>3.6</v>
      </c>
      <c r="E17" s="4">
        <f t="shared" si="3"/>
        <v>284.39999999999998</v>
      </c>
      <c r="F17" s="1"/>
    </row>
    <row r="18" spans="1:6" x14ac:dyDescent="0.25">
      <c r="A18" s="2">
        <v>17</v>
      </c>
      <c r="B18" s="3">
        <f t="shared" si="0"/>
        <v>16</v>
      </c>
      <c r="C18" s="4">
        <f t="shared" si="1"/>
        <v>272</v>
      </c>
      <c r="D18" s="4">
        <f t="shared" si="2"/>
        <v>3.2</v>
      </c>
      <c r="E18" s="4">
        <f t="shared" si="3"/>
        <v>268.8</v>
      </c>
      <c r="F18" s="1"/>
    </row>
    <row r="19" spans="1:6" x14ac:dyDescent="0.25">
      <c r="A19" s="2">
        <v>18</v>
      </c>
      <c r="B19" s="3">
        <f t="shared" si="0"/>
        <v>14</v>
      </c>
      <c r="C19" s="4">
        <f t="shared" si="1"/>
        <v>252</v>
      </c>
      <c r="D19" s="4">
        <f t="shared" si="2"/>
        <v>2.8000000000000003</v>
      </c>
      <c r="E19" s="4">
        <f t="shared" si="3"/>
        <v>249.2</v>
      </c>
      <c r="F19" s="1"/>
    </row>
    <row r="20" spans="1:6" x14ac:dyDescent="0.25">
      <c r="A20" s="2">
        <v>19</v>
      </c>
      <c r="B20" s="3">
        <f t="shared" si="0"/>
        <v>12</v>
      </c>
      <c r="C20" s="4">
        <f t="shared" si="1"/>
        <v>228</v>
      </c>
      <c r="D20" s="4">
        <f t="shared" si="2"/>
        <v>2.4000000000000004</v>
      </c>
      <c r="E20" s="4">
        <f t="shared" si="3"/>
        <v>225.6</v>
      </c>
      <c r="F20" s="1"/>
    </row>
    <row r="21" spans="1:6" x14ac:dyDescent="0.25">
      <c r="A21" s="2">
        <v>20</v>
      </c>
      <c r="B21" s="3">
        <f t="shared" si="0"/>
        <v>10</v>
      </c>
      <c r="C21" s="4">
        <f t="shared" si="1"/>
        <v>200</v>
      </c>
      <c r="D21" s="4">
        <f t="shared" si="2"/>
        <v>2</v>
      </c>
      <c r="E21" s="4">
        <f t="shared" si="3"/>
        <v>198</v>
      </c>
      <c r="F21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1" sqref="B1:C25"/>
    </sheetView>
  </sheetViews>
  <sheetFormatPr defaultRowHeight="15" x14ac:dyDescent="0.25"/>
  <cols>
    <col min="1" max="1" width="13.85546875" customWidth="1"/>
    <col min="2" max="2" width="13.5703125" customWidth="1"/>
    <col min="3" max="3" width="16" customWidth="1"/>
  </cols>
  <sheetData>
    <row r="1" spans="1:8" x14ac:dyDescent="0.25">
      <c r="A1" s="5" t="s">
        <v>13</v>
      </c>
      <c r="B1" s="5" t="s">
        <v>9</v>
      </c>
      <c r="C1" s="5" t="s">
        <v>10</v>
      </c>
      <c r="E1" s="5" t="s">
        <v>0</v>
      </c>
      <c r="F1" s="5" t="s">
        <v>1</v>
      </c>
      <c r="G1" s="11" t="s">
        <v>14</v>
      </c>
      <c r="H1" s="11" t="s">
        <v>15</v>
      </c>
    </row>
    <row r="2" spans="1:8" x14ac:dyDescent="0.25">
      <c r="A2" s="4">
        <f ca="1">$H$2+($G$2-$H$2)*RAND()</f>
        <v>0.77458921011697024</v>
      </c>
      <c r="B2" s="2">
        <v>1</v>
      </c>
      <c r="C2" s="3">
        <f ca="1">ROUND($E$2-($F$2*B2)+A2,0)</f>
        <v>49</v>
      </c>
      <c r="E2" s="6">
        <v>50</v>
      </c>
      <c r="F2" s="6">
        <v>2</v>
      </c>
      <c r="G2" s="6">
        <v>3</v>
      </c>
      <c r="H2" s="6">
        <v>-3</v>
      </c>
    </row>
    <row r="3" spans="1:8" x14ac:dyDescent="0.25">
      <c r="A3" s="4">
        <f t="shared" ref="A3:A25" ca="1" si="0">$H$2+($G$2-$H$2)*RAND()</f>
        <v>1.0393444272220194</v>
      </c>
      <c r="B3" s="2">
        <v>2</v>
      </c>
      <c r="C3" s="3">
        <f t="shared" ref="C3:C25" ca="1" si="1">ROUND($E$2-($F$2*B3)+A3,0)</f>
        <v>47</v>
      </c>
    </row>
    <row r="4" spans="1:8" x14ac:dyDescent="0.25">
      <c r="A4" s="4">
        <f t="shared" ca="1" si="0"/>
        <v>-0.93766794449474755</v>
      </c>
      <c r="B4" s="2">
        <v>3</v>
      </c>
      <c r="C4" s="3">
        <f t="shared" ca="1" si="1"/>
        <v>43</v>
      </c>
    </row>
    <row r="5" spans="1:8" x14ac:dyDescent="0.25">
      <c r="A5" s="4">
        <f t="shared" ca="1" si="0"/>
        <v>-2.1779179708768455</v>
      </c>
      <c r="B5" s="2">
        <v>4</v>
      </c>
      <c r="C5" s="3">
        <f t="shared" ca="1" si="1"/>
        <v>40</v>
      </c>
    </row>
    <row r="6" spans="1:8" x14ac:dyDescent="0.25">
      <c r="A6" s="4">
        <f t="shared" ca="1" si="0"/>
        <v>1.1052278936795155</v>
      </c>
      <c r="B6" s="2">
        <v>5</v>
      </c>
      <c r="C6" s="3">
        <f t="shared" ca="1" si="1"/>
        <v>41</v>
      </c>
    </row>
    <row r="7" spans="1:8" x14ac:dyDescent="0.25">
      <c r="A7" s="4">
        <f t="shared" ca="1" si="0"/>
        <v>0.98022942330546936</v>
      </c>
      <c r="B7" s="2">
        <v>6</v>
      </c>
      <c r="C7" s="3">
        <f t="shared" ca="1" si="1"/>
        <v>39</v>
      </c>
    </row>
    <row r="8" spans="1:8" x14ac:dyDescent="0.25">
      <c r="A8" s="4">
        <f t="shared" ca="1" si="0"/>
        <v>0.4474879278429249</v>
      </c>
      <c r="B8" s="2">
        <v>7</v>
      </c>
      <c r="C8" s="3">
        <f t="shared" ca="1" si="1"/>
        <v>36</v>
      </c>
    </row>
    <row r="9" spans="1:8" x14ac:dyDescent="0.25">
      <c r="A9" s="4">
        <f t="shared" ca="1" si="0"/>
        <v>2.2442589724642383</v>
      </c>
      <c r="B9" s="2">
        <v>8</v>
      </c>
      <c r="C9" s="3">
        <f t="shared" ca="1" si="1"/>
        <v>36</v>
      </c>
    </row>
    <row r="10" spans="1:8" x14ac:dyDescent="0.25">
      <c r="A10" s="4">
        <f t="shared" ca="1" si="0"/>
        <v>2.5041272112677637</v>
      </c>
      <c r="B10" s="2">
        <v>9</v>
      </c>
      <c r="C10" s="3">
        <f t="shared" ca="1" si="1"/>
        <v>35</v>
      </c>
    </row>
    <row r="11" spans="1:8" x14ac:dyDescent="0.25">
      <c r="A11" s="4">
        <f t="shared" ca="1" si="0"/>
        <v>-0.41278249645196752</v>
      </c>
      <c r="B11" s="2">
        <v>10</v>
      </c>
      <c r="C11" s="3">
        <f t="shared" ca="1" si="1"/>
        <v>30</v>
      </c>
    </row>
    <row r="12" spans="1:8" x14ac:dyDescent="0.25">
      <c r="A12" s="4">
        <f t="shared" ca="1" si="0"/>
        <v>1.442961065265127</v>
      </c>
      <c r="B12" s="2">
        <v>11</v>
      </c>
      <c r="C12" s="3">
        <f t="shared" ca="1" si="1"/>
        <v>29</v>
      </c>
    </row>
    <row r="13" spans="1:8" x14ac:dyDescent="0.25">
      <c r="A13" s="4">
        <f t="shared" ca="1" si="0"/>
        <v>-2.6826851859461796</v>
      </c>
      <c r="B13" s="5">
        <v>12</v>
      </c>
      <c r="C13" s="3">
        <f t="shared" ca="1" si="1"/>
        <v>23</v>
      </c>
    </row>
    <row r="14" spans="1:8" x14ac:dyDescent="0.25">
      <c r="A14" s="4">
        <f t="shared" ca="1" si="0"/>
        <v>-1.9220627740951908</v>
      </c>
      <c r="B14" s="5">
        <v>13</v>
      </c>
      <c r="C14" s="3">
        <f t="shared" ca="1" si="1"/>
        <v>22</v>
      </c>
    </row>
    <row r="15" spans="1:8" x14ac:dyDescent="0.25">
      <c r="A15" s="4">
        <f t="shared" ca="1" si="0"/>
        <v>1.2486513492532243</v>
      </c>
      <c r="B15" s="2">
        <v>14</v>
      </c>
      <c r="C15" s="3">
        <f t="shared" ca="1" si="1"/>
        <v>23</v>
      </c>
    </row>
    <row r="16" spans="1:8" x14ac:dyDescent="0.25">
      <c r="A16" s="4">
        <f t="shared" ca="1" si="0"/>
        <v>1.1725822748946833</v>
      </c>
      <c r="B16" s="2">
        <v>15</v>
      </c>
      <c r="C16" s="3">
        <f t="shared" ca="1" si="1"/>
        <v>21</v>
      </c>
    </row>
    <row r="17" spans="1:3" x14ac:dyDescent="0.25">
      <c r="A17" s="4">
        <f t="shared" ca="1" si="0"/>
        <v>-2.9068725730696698</v>
      </c>
      <c r="B17" s="2">
        <v>16</v>
      </c>
      <c r="C17" s="3">
        <f t="shared" ca="1" si="1"/>
        <v>15</v>
      </c>
    </row>
    <row r="18" spans="1:3" x14ac:dyDescent="0.25">
      <c r="A18" s="4">
        <f t="shared" ca="1" si="0"/>
        <v>1.9141669949280997</v>
      </c>
      <c r="B18" s="2">
        <v>17</v>
      </c>
      <c r="C18" s="3">
        <f t="shared" ca="1" si="1"/>
        <v>18</v>
      </c>
    </row>
    <row r="19" spans="1:3" x14ac:dyDescent="0.25">
      <c r="A19" s="4">
        <f t="shared" ca="1" si="0"/>
        <v>1.6440150245331857</v>
      </c>
      <c r="B19" s="2">
        <v>18</v>
      </c>
      <c r="C19" s="3">
        <f t="shared" ca="1" si="1"/>
        <v>16</v>
      </c>
    </row>
    <row r="20" spans="1:3" x14ac:dyDescent="0.25">
      <c r="A20" s="4">
        <f t="shared" ca="1" si="0"/>
        <v>-1.7231659774079511</v>
      </c>
      <c r="B20" s="2">
        <v>19</v>
      </c>
      <c r="C20" s="3">
        <f t="shared" ca="1" si="1"/>
        <v>10</v>
      </c>
    </row>
    <row r="21" spans="1:3" x14ac:dyDescent="0.25">
      <c r="A21" s="4">
        <f t="shared" ca="1" si="0"/>
        <v>1.5381705303608388</v>
      </c>
      <c r="B21" s="2">
        <v>20</v>
      </c>
      <c r="C21" s="3">
        <f t="shared" ca="1" si="1"/>
        <v>12</v>
      </c>
    </row>
    <row r="22" spans="1:3" x14ac:dyDescent="0.25">
      <c r="A22" s="4">
        <f t="shared" ca="1" si="0"/>
        <v>1.111397943879382</v>
      </c>
      <c r="B22" s="2">
        <v>21</v>
      </c>
      <c r="C22" s="3">
        <f t="shared" ca="1" si="1"/>
        <v>9</v>
      </c>
    </row>
    <row r="23" spans="1:3" x14ac:dyDescent="0.25">
      <c r="A23" s="4">
        <f t="shared" ca="1" si="0"/>
        <v>-1.8320290618199346</v>
      </c>
      <c r="B23" s="2">
        <v>22</v>
      </c>
      <c r="C23" s="3">
        <f t="shared" ca="1" si="1"/>
        <v>4</v>
      </c>
    </row>
    <row r="24" spans="1:3" x14ac:dyDescent="0.25">
      <c r="A24" s="4">
        <f t="shared" ca="1" si="0"/>
        <v>1.6247682388969089</v>
      </c>
      <c r="B24" s="2">
        <v>23</v>
      </c>
      <c r="C24" s="3">
        <f t="shared" ca="1" si="1"/>
        <v>6</v>
      </c>
    </row>
    <row r="25" spans="1:3" x14ac:dyDescent="0.25">
      <c r="A25" s="4">
        <f t="shared" ca="1" si="0"/>
        <v>1.3792014095678802</v>
      </c>
      <c r="B25" s="2">
        <v>24</v>
      </c>
      <c r="C25" s="3">
        <f t="shared" ca="1" si="1"/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F26" sqref="F26"/>
    </sheetView>
  </sheetViews>
  <sheetFormatPr defaultRowHeight="15" x14ac:dyDescent="0.25"/>
  <cols>
    <col min="2" max="2" width="11.425781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>
        <v>1</v>
      </c>
      <c r="B2">
        <v>50</v>
      </c>
    </row>
    <row r="3" spans="1:2" x14ac:dyDescent="0.25">
      <c r="A3">
        <v>2</v>
      </c>
      <c r="B3">
        <v>45</v>
      </c>
    </row>
    <row r="4" spans="1:2" x14ac:dyDescent="0.25">
      <c r="A4">
        <v>3</v>
      </c>
      <c r="B4">
        <v>46</v>
      </c>
    </row>
    <row r="5" spans="1:2" x14ac:dyDescent="0.25">
      <c r="A5">
        <v>4</v>
      </c>
      <c r="B5">
        <v>42</v>
      </c>
    </row>
    <row r="6" spans="1:2" x14ac:dyDescent="0.25">
      <c r="A6">
        <v>5</v>
      </c>
      <c r="B6">
        <v>41</v>
      </c>
    </row>
    <row r="7" spans="1:2" x14ac:dyDescent="0.25">
      <c r="A7">
        <v>6</v>
      </c>
      <c r="B7">
        <v>41</v>
      </c>
    </row>
    <row r="8" spans="1:2" x14ac:dyDescent="0.25">
      <c r="A8">
        <v>7</v>
      </c>
      <c r="B8">
        <v>33</v>
      </c>
    </row>
    <row r="9" spans="1:2" x14ac:dyDescent="0.25">
      <c r="A9">
        <v>8</v>
      </c>
      <c r="B9">
        <v>32</v>
      </c>
    </row>
    <row r="10" spans="1:2" x14ac:dyDescent="0.25">
      <c r="A10">
        <v>9</v>
      </c>
      <c r="B10">
        <v>33</v>
      </c>
    </row>
    <row r="11" spans="1:2" x14ac:dyDescent="0.25">
      <c r="A11">
        <v>10</v>
      </c>
      <c r="B11">
        <v>28</v>
      </c>
    </row>
    <row r="12" spans="1:2" x14ac:dyDescent="0.25">
      <c r="A12">
        <v>11</v>
      </c>
      <c r="B12">
        <v>27</v>
      </c>
    </row>
    <row r="13" spans="1:2" x14ac:dyDescent="0.25">
      <c r="A13">
        <v>12</v>
      </c>
      <c r="B13">
        <v>26</v>
      </c>
    </row>
    <row r="14" spans="1:2" x14ac:dyDescent="0.25">
      <c r="A14">
        <v>13</v>
      </c>
      <c r="B14">
        <v>23</v>
      </c>
    </row>
    <row r="15" spans="1:2" x14ac:dyDescent="0.25">
      <c r="A15">
        <v>14</v>
      </c>
      <c r="B15">
        <v>23</v>
      </c>
    </row>
    <row r="16" spans="1:2" x14ac:dyDescent="0.25">
      <c r="A16">
        <v>15</v>
      </c>
      <c r="B16">
        <v>23</v>
      </c>
    </row>
    <row r="17" spans="1:2" x14ac:dyDescent="0.25">
      <c r="A17">
        <v>16</v>
      </c>
      <c r="B17">
        <v>16</v>
      </c>
    </row>
    <row r="18" spans="1:2" x14ac:dyDescent="0.25">
      <c r="A18">
        <v>17</v>
      </c>
      <c r="B18">
        <v>18</v>
      </c>
    </row>
    <row r="19" spans="1:2" x14ac:dyDescent="0.25">
      <c r="A19">
        <v>18</v>
      </c>
      <c r="B19">
        <v>15</v>
      </c>
    </row>
    <row r="20" spans="1:2" x14ac:dyDescent="0.25">
      <c r="A20">
        <v>19</v>
      </c>
      <c r="B20">
        <v>14</v>
      </c>
    </row>
    <row r="21" spans="1:2" x14ac:dyDescent="0.25">
      <c r="A21">
        <v>20</v>
      </c>
      <c r="B21">
        <v>7</v>
      </c>
    </row>
    <row r="22" spans="1:2" x14ac:dyDescent="0.25">
      <c r="A22">
        <v>21</v>
      </c>
      <c r="B22">
        <v>9</v>
      </c>
    </row>
    <row r="23" spans="1:2" x14ac:dyDescent="0.25">
      <c r="A23">
        <v>22</v>
      </c>
      <c r="B23">
        <v>8</v>
      </c>
    </row>
    <row r="24" spans="1:2" x14ac:dyDescent="0.25">
      <c r="A24">
        <v>23</v>
      </c>
      <c r="B24">
        <v>2</v>
      </c>
    </row>
    <row r="25" spans="1:2" x14ac:dyDescent="0.25">
      <c r="A25">
        <v>24</v>
      </c>
      <c r="B25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derivadas</vt:lpstr>
      <vt:lpstr>regressao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Alcides</dc:creator>
  <cp:lastModifiedBy>Neto Alcides</cp:lastModifiedBy>
  <dcterms:created xsi:type="dcterms:W3CDTF">2019-02-16T19:30:45Z</dcterms:created>
  <dcterms:modified xsi:type="dcterms:W3CDTF">2019-03-17T17:42:13Z</dcterms:modified>
</cp:coreProperties>
</file>