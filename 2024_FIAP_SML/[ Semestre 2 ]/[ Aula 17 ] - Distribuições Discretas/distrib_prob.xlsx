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Fiap\Graduacao_2021\1-Statistics for data science e machine learning\sem2\aula5\"/>
    </mc:Choice>
  </mc:AlternateContent>
  <bookViews>
    <workbookView xWindow="0" yWindow="0" windowWidth="15300" windowHeight="7560"/>
  </bookViews>
  <sheets>
    <sheet name="dist_uniforme" sheetId="1" r:id="rId1"/>
    <sheet name="dist_bernoulli" sheetId="2" r:id="rId2"/>
    <sheet name="dist_binomial" sheetId="3" r:id="rId3"/>
    <sheet name="dist_poisson" sheetId="4" r:id="rId4"/>
    <sheet name="problema_resolvido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5" l="1"/>
  <c r="L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2" i="4"/>
  <c r="L2" i="3" l="1"/>
  <c r="K2" i="3"/>
  <c r="C3" i="3"/>
  <c r="C4" i="3"/>
  <c r="C5" i="3"/>
  <c r="C6" i="3"/>
  <c r="C7" i="3"/>
  <c r="C2" i="3"/>
  <c r="G2" i="2" l="1"/>
  <c r="F2" i="2"/>
  <c r="B3" i="2"/>
  <c r="B2" i="2"/>
  <c r="G2" i="1" l="1"/>
  <c r="G3" i="1"/>
  <c r="F3" i="1"/>
  <c r="F2" i="1"/>
  <c r="B3" i="1"/>
  <c r="B4" i="1"/>
  <c r="B5" i="1"/>
  <c r="B6" i="1"/>
  <c r="B7" i="1"/>
  <c r="B2" i="1"/>
  <c r="D2" i="1"/>
</calcChain>
</file>

<file path=xl/sharedStrings.xml><?xml version="1.0" encoding="utf-8"?>
<sst xmlns="http://schemas.openxmlformats.org/spreadsheetml/2006/main" count="31" uniqueCount="23">
  <si>
    <t>P(X)</t>
  </si>
  <si>
    <t>X</t>
  </si>
  <si>
    <t>N</t>
  </si>
  <si>
    <t>média</t>
  </si>
  <si>
    <t>variância</t>
  </si>
  <si>
    <t>p</t>
  </si>
  <si>
    <t>Variancia V(X)</t>
  </si>
  <si>
    <t>Media E(X)</t>
  </si>
  <si>
    <t>n eventos</t>
  </si>
  <si>
    <t>Interpretação</t>
  </si>
  <si>
    <t>0 sucessos em 5 tentativas</t>
  </si>
  <si>
    <t>2 sucessos em 5 tentativas</t>
  </si>
  <si>
    <t>3 sucessos em 5 tentativas</t>
  </si>
  <si>
    <t>4 sucessos em 5 tentativas</t>
  </si>
  <si>
    <t>5 sucessos em 5 tentativas</t>
  </si>
  <si>
    <t>1 sucesso em 5 tentativas</t>
  </si>
  <si>
    <t>p (sucesso)</t>
  </si>
  <si>
    <t>media E(X)</t>
  </si>
  <si>
    <t>variancia V(X)</t>
  </si>
  <si>
    <t>media dentro de um intervalo</t>
  </si>
  <si>
    <t>media de acidentes mensal</t>
  </si>
  <si>
    <t>Resolução 2</t>
  </si>
  <si>
    <t>Resolução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</si>
</sst>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00_-;\-* #,##0.0000_-;_-* &quot;-&quot;??_-;_-@_-"/>
    <numFmt numFmtId="165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5" fontId="2" fillId="0" borderId="0" xfId="2" applyNumberFormat="1" applyFont="1"/>
    <xf numFmtId="0" fontId="2" fillId="0" borderId="0" xfId="0" applyFont="1"/>
    <xf numFmtId="10" fontId="2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uniforme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dist_uniforme!$A$2:$A$7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dist_uniforme!$B$2:$B$7</c:f>
              <c:numCache>
                <c:formatCode>General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9-4908-A3C5-7C6888826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703263"/>
        <c:axId val="1677711583"/>
      </c:barChart>
      <c:catAx>
        <c:axId val="16777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7711583"/>
        <c:crosses val="autoZero"/>
        <c:auto val="1"/>
        <c:lblAlgn val="ctr"/>
        <c:lblOffset val="100"/>
        <c:noMultiLvlLbl val="0"/>
      </c:catAx>
      <c:valAx>
        <c:axId val="167771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770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dist_bernoulli!$A$2:$A$3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dist_bernoulli!$B$2:$B$3</c:f>
              <c:numCache>
                <c:formatCode>General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2-4AAC-8E04-4CE96B5BD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817055"/>
        <c:axId val="1665816639"/>
      </c:barChart>
      <c:catAx>
        <c:axId val="166581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5816639"/>
        <c:crosses val="autoZero"/>
        <c:auto val="1"/>
        <c:lblAlgn val="ctr"/>
        <c:lblOffset val="100"/>
        <c:noMultiLvlLbl val="0"/>
      </c:catAx>
      <c:valAx>
        <c:axId val="166581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581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Binomial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dist_binomial!$B$2:$B$7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dist_binomial!$C$2:$C$7</c:f>
              <c:numCache>
                <c:formatCode>_-* #,##0.0000_-;\-* #,##0.0000_-;_-* "-"??_-;_-@_-</c:formatCode>
                <c:ptCount val="6"/>
                <c:pt idx="0">
                  <c:v>0.32768000000000003</c:v>
                </c:pt>
                <c:pt idx="1">
                  <c:v>0.40959999999999996</c:v>
                </c:pt>
                <c:pt idx="2">
                  <c:v>0.20480000000000001</c:v>
                </c:pt>
                <c:pt idx="3">
                  <c:v>5.1199999999999996E-2</c:v>
                </c:pt>
                <c:pt idx="4">
                  <c:v>6.4000000000000029E-3</c:v>
                </c:pt>
                <c:pt idx="5">
                  <c:v>3.2000000000000008E-4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8-4457-9720-F66DE7242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818719"/>
        <c:axId val="1665822047"/>
      </c:barChart>
      <c:catAx>
        <c:axId val="166581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5822047"/>
        <c:crosses val="autoZero"/>
        <c:auto val="1"/>
        <c:lblAlgn val="ctr"/>
        <c:lblOffset val="100"/>
        <c:noMultiLvlLbl val="0"/>
      </c:catAx>
      <c:valAx>
        <c:axId val="166582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0_-;\-* #,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581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poisson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dist_poisson!$A$2:$A$72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dist_poisson!$B$2:$B$72</c:f>
              <c:numCache>
                <c:formatCode>General</c:formatCode>
                <c:ptCount val="71"/>
                <c:pt idx="0">
                  <c:v>2.0611536224385579E-9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  <c:pt idx="41">
                  <c:v>1.3549125306499445E-5</c:v>
                </c:pt>
                <c:pt idx="42">
                  <c:v>6.4519644316664028E-6</c:v>
                </c:pt>
                <c:pt idx="43">
                  <c:v>3.0009136891471711E-6</c:v>
                </c:pt>
                <c:pt idx="44">
                  <c:v>1.3640516768850688E-6</c:v>
                </c:pt>
                <c:pt idx="45">
                  <c:v>6.0624518972670115E-7</c:v>
                </c:pt>
                <c:pt idx="46">
                  <c:v>2.6358486509856742E-7</c:v>
                </c:pt>
                <c:pt idx="47">
                  <c:v>1.1216377238236792E-7</c:v>
                </c:pt>
                <c:pt idx="48">
                  <c:v>4.6734905159320215E-8</c:v>
                </c:pt>
                <c:pt idx="49">
                  <c:v>1.9075471493599922E-8</c:v>
                </c:pt>
                <c:pt idx="50">
                  <c:v>7.6301885974399753E-9</c:v>
                </c:pt>
                <c:pt idx="51">
                  <c:v>2.9922308225254937E-9</c:v>
                </c:pt>
                <c:pt idx="52">
                  <c:v>1.1508580086636487E-9</c:v>
                </c:pt>
                <c:pt idx="53">
                  <c:v>4.3428604100515208E-10</c:v>
                </c:pt>
                <c:pt idx="54">
                  <c:v>1.6084668185375959E-10</c:v>
                </c:pt>
                <c:pt idx="55">
                  <c:v>5.8489702492276397E-11</c:v>
                </c:pt>
                <c:pt idx="56">
                  <c:v>2.0889179461527371E-11</c:v>
                </c:pt>
                <c:pt idx="57">
                  <c:v>7.3295366531674163E-12</c:v>
                </c:pt>
                <c:pt idx="58">
                  <c:v>2.5274264321267186E-12</c:v>
                </c:pt>
                <c:pt idx="59">
                  <c:v>8.5675472275481872E-13</c:v>
                </c:pt>
                <c:pt idx="60">
                  <c:v>2.8558490758493792E-13</c:v>
                </c:pt>
                <c:pt idx="61">
                  <c:v>9.3634395929488108E-14</c:v>
                </c:pt>
                <c:pt idx="62">
                  <c:v>3.0204643848221739E-14</c:v>
                </c:pt>
                <c:pt idx="63">
                  <c:v>9.5887758248323169E-15</c:v>
                </c:pt>
                <c:pt idx="64">
                  <c:v>2.9964924452601169E-15</c:v>
                </c:pt>
                <c:pt idx="65">
                  <c:v>9.2199767546464442E-16</c:v>
                </c:pt>
                <c:pt idx="66">
                  <c:v>2.7939323498928751E-16</c:v>
                </c:pt>
                <c:pt idx="67">
                  <c:v>8.3400965668444131E-17</c:v>
                </c:pt>
                <c:pt idx="68">
                  <c:v>2.452969578483656E-17</c:v>
                </c:pt>
                <c:pt idx="69">
                  <c:v>7.1100567492279451E-18</c:v>
                </c:pt>
                <c:pt idx="70">
                  <c:v>2.0314447854936928E-18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5-4BEE-AA6B-2696E916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333951"/>
        <c:axId val="1865328959"/>
      </c:barChart>
      <c:catAx>
        <c:axId val="186533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328959"/>
        <c:crosses val="autoZero"/>
        <c:auto val="1"/>
        <c:lblAlgn val="ctr"/>
        <c:lblOffset val="100"/>
        <c:noMultiLvlLbl val="0"/>
      </c:catAx>
      <c:valAx>
        <c:axId val="186532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33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poisson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dist_poisson!$A$2:$A$72</c:f>
              <c:numCache>
                <c:formatCode>General</c:formatCode>
                <c:ptCount val="7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</c:numCache>
            </c:numRef>
          </c:cat>
          <c:val>
            <c:numRef>
              <c:f>problema_resolvido!$B$2:$B$72</c:f>
              <c:numCache>
                <c:formatCode>General</c:formatCode>
                <c:ptCount val="71"/>
                <c:pt idx="0">
                  <c:v>2.0611536224385579E-9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  <c:pt idx="41">
                  <c:v>1.3549125306499445E-5</c:v>
                </c:pt>
                <c:pt idx="42">
                  <c:v>6.4519644316664028E-6</c:v>
                </c:pt>
                <c:pt idx="43">
                  <c:v>3.0009136891471711E-6</c:v>
                </c:pt>
                <c:pt idx="44">
                  <c:v>1.3640516768850688E-6</c:v>
                </c:pt>
                <c:pt idx="45">
                  <c:v>6.0624518972670115E-7</c:v>
                </c:pt>
                <c:pt idx="46">
                  <c:v>2.6358486509856742E-7</c:v>
                </c:pt>
                <c:pt idx="47">
                  <c:v>1.1216377238236792E-7</c:v>
                </c:pt>
                <c:pt idx="48">
                  <c:v>4.6734905159320215E-8</c:v>
                </c:pt>
                <c:pt idx="49">
                  <c:v>1.9075471493599922E-8</c:v>
                </c:pt>
                <c:pt idx="50">
                  <c:v>7.6301885974399753E-9</c:v>
                </c:pt>
                <c:pt idx="51">
                  <c:v>2.9922308225254937E-9</c:v>
                </c:pt>
                <c:pt idx="52">
                  <c:v>1.1508580086636487E-9</c:v>
                </c:pt>
                <c:pt idx="53">
                  <c:v>4.3428604100515208E-10</c:v>
                </c:pt>
                <c:pt idx="54">
                  <c:v>1.6084668185375959E-10</c:v>
                </c:pt>
                <c:pt idx="55">
                  <c:v>5.8489702492276397E-11</c:v>
                </c:pt>
                <c:pt idx="56">
                  <c:v>2.0889179461527371E-11</c:v>
                </c:pt>
                <c:pt idx="57">
                  <c:v>7.3295366531674163E-12</c:v>
                </c:pt>
                <c:pt idx="58">
                  <c:v>2.5274264321267186E-12</c:v>
                </c:pt>
                <c:pt idx="59">
                  <c:v>8.5675472275481872E-13</c:v>
                </c:pt>
                <c:pt idx="60">
                  <c:v>2.8558490758493792E-13</c:v>
                </c:pt>
                <c:pt idx="61">
                  <c:v>9.3634395929488108E-14</c:v>
                </c:pt>
                <c:pt idx="62">
                  <c:v>3.0204643848221739E-14</c:v>
                </c:pt>
                <c:pt idx="63">
                  <c:v>9.5887758248323169E-15</c:v>
                </c:pt>
                <c:pt idx="64">
                  <c:v>2.9964924452601169E-15</c:v>
                </c:pt>
                <c:pt idx="65">
                  <c:v>9.2199767546464442E-16</c:v>
                </c:pt>
                <c:pt idx="66">
                  <c:v>2.7939323498928751E-16</c:v>
                </c:pt>
                <c:pt idx="67">
                  <c:v>8.3400965668444131E-17</c:v>
                </c:pt>
                <c:pt idx="68">
                  <c:v>2.452969578483656E-17</c:v>
                </c:pt>
                <c:pt idx="69">
                  <c:v>7.1100567492279451E-18</c:v>
                </c:pt>
                <c:pt idx="70">
                  <c:v>2.0314447854936928E-18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3-4840-A98E-131F86937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333951"/>
        <c:axId val="1865328959"/>
      </c:barChart>
      <c:catAx>
        <c:axId val="186533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328959"/>
        <c:crosses val="autoZero"/>
        <c:auto val="1"/>
        <c:lblAlgn val="ctr"/>
        <c:lblOffset val="100"/>
        <c:noMultiLvlLbl val="0"/>
      </c:catAx>
      <c:valAx>
        <c:axId val="186532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33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95250</xdr:rowOff>
    </xdr:from>
    <xdr:to>
      <xdr:col>10</xdr:col>
      <xdr:colOff>304800</xdr:colOff>
      <xdr:row>17</xdr:row>
      <xdr:rowOff>171450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19050</xdr:rowOff>
    </xdr:from>
    <xdr:to>
      <xdr:col>7</xdr:col>
      <xdr:colOff>381000</xdr:colOff>
      <xdr:row>18</xdr:row>
      <xdr:rowOff>95250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161925</xdr:colOff>
      <xdr:row>0</xdr:row>
      <xdr:rowOff>180975</xdr:rowOff>
    </xdr:from>
    <xdr:to>
      <xdr:col>12</xdr:col>
      <xdr:colOff>497765</xdr:colOff>
      <xdr:row>5</xdr:row>
      <xdr:rowOff>38100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80975"/>
          <a:ext cx="277424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8</xdr:row>
      <xdr:rowOff>76200</xdr:rowOff>
    </xdr:from>
    <xdr:to>
      <xdr:col>6</xdr:col>
      <xdr:colOff>476250</xdr:colOff>
      <xdr:row>22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114300</xdr:colOff>
      <xdr:row>3</xdr:row>
      <xdr:rowOff>85725</xdr:rowOff>
    </xdr:from>
    <xdr:to>
      <xdr:col>17</xdr:col>
      <xdr:colOff>485775</xdr:colOff>
      <xdr:row>8</xdr:row>
      <xdr:rowOff>28575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657225"/>
          <a:ext cx="50101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3</xdr:row>
      <xdr:rowOff>47625</xdr:rowOff>
    </xdr:from>
    <xdr:to>
      <xdr:col>9</xdr:col>
      <xdr:colOff>447675</xdr:colOff>
      <xdr:row>21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66675</xdr:rowOff>
    </xdr:from>
    <xdr:to>
      <xdr:col>10</xdr:col>
      <xdr:colOff>419100</xdr:colOff>
      <xdr:row>23</xdr:row>
      <xdr:rowOff>28575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31" sqref="D31"/>
    </sheetView>
  </sheetViews>
  <sheetFormatPr defaultRowHeight="15" x14ac:dyDescent="0.25"/>
  <sheetData>
    <row r="1" spans="1:7" x14ac:dyDescent="0.25">
      <c r="A1" t="s">
        <v>1</v>
      </c>
      <c r="B1" t="s">
        <v>0</v>
      </c>
      <c r="D1" t="s">
        <v>2</v>
      </c>
      <c r="F1" t="s">
        <v>3</v>
      </c>
      <c r="G1" t="s">
        <v>4</v>
      </c>
    </row>
    <row r="2" spans="1:7" x14ac:dyDescent="0.25">
      <c r="A2">
        <v>1</v>
      </c>
      <c r="B2">
        <f>1/$D$2</f>
        <v>0.16666666666666666</v>
      </c>
      <c r="D2">
        <f>COUNT(A2:A7)</f>
        <v>6</v>
      </c>
      <c r="F2">
        <f>(D2+1)/2</f>
        <v>3.5</v>
      </c>
      <c r="G2">
        <f>((D2^2)-1)/12</f>
        <v>2.9166666666666665</v>
      </c>
    </row>
    <row r="3" spans="1:7" x14ac:dyDescent="0.25">
      <c r="A3">
        <v>2</v>
      </c>
      <c r="B3">
        <f t="shared" ref="B3:B7" si="0">1/$D$2</f>
        <v>0.16666666666666666</v>
      </c>
      <c r="F3">
        <f>AVERAGE(A2:A7)</f>
        <v>3.5</v>
      </c>
      <c r="G3">
        <f>_xlfn.VAR.P(A2:A7)</f>
        <v>2.9166666666666665</v>
      </c>
    </row>
    <row r="4" spans="1:7" x14ac:dyDescent="0.25">
      <c r="A4">
        <v>3</v>
      </c>
      <c r="B4">
        <f t="shared" si="0"/>
        <v>0.16666666666666666</v>
      </c>
    </row>
    <row r="5" spans="1:7" x14ac:dyDescent="0.25">
      <c r="A5">
        <v>4</v>
      </c>
      <c r="B5">
        <f t="shared" si="0"/>
        <v>0.16666666666666666</v>
      </c>
    </row>
    <row r="6" spans="1:7" x14ac:dyDescent="0.25">
      <c r="A6">
        <v>5</v>
      </c>
      <c r="B6">
        <f t="shared" si="0"/>
        <v>0.16666666666666666</v>
      </c>
    </row>
    <row r="7" spans="1:7" x14ac:dyDescent="0.25">
      <c r="A7">
        <v>6</v>
      </c>
      <c r="B7">
        <f t="shared" si="0"/>
        <v>0.16666666666666666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O6" sqref="O6"/>
    </sheetView>
  </sheetViews>
  <sheetFormatPr defaultRowHeight="15" x14ac:dyDescent="0.25"/>
  <cols>
    <col min="6" max="6" width="10.5703125" bestFit="1" customWidth="1"/>
    <col min="7" max="7" width="13.5703125" bestFit="1" customWidth="1"/>
  </cols>
  <sheetData>
    <row r="1" spans="1:7" x14ac:dyDescent="0.25">
      <c r="A1" t="s">
        <v>1</v>
      </c>
      <c r="B1" t="s">
        <v>0</v>
      </c>
      <c r="D1" t="s">
        <v>5</v>
      </c>
      <c r="F1" t="s">
        <v>7</v>
      </c>
      <c r="G1" t="s">
        <v>6</v>
      </c>
    </row>
    <row r="2" spans="1:7" x14ac:dyDescent="0.25">
      <c r="A2">
        <v>0</v>
      </c>
      <c r="B2">
        <f>D2</f>
        <v>0.4</v>
      </c>
      <c r="D2">
        <v>0.4</v>
      </c>
      <c r="F2">
        <f>D2</f>
        <v>0.4</v>
      </c>
      <c r="G2">
        <f>F2*(1-F2)</f>
        <v>0.24</v>
      </c>
    </row>
    <row r="3" spans="1:7" x14ac:dyDescent="0.25">
      <c r="A3">
        <v>1</v>
      </c>
      <c r="B3">
        <f>1-D2</f>
        <v>0.6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O13" sqref="O13"/>
    </sheetView>
  </sheetViews>
  <sheetFormatPr defaultRowHeight="15" x14ac:dyDescent="0.25"/>
  <cols>
    <col min="1" max="1" width="24.5703125" bestFit="1" customWidth="1"/>
    <col min="7" max="7" width="9.7109375" bestFit="1" customWidth="1"/>
    <col min="9" max="9" width="10.85546875" bestFit="1" customWidth="1"/>
    <col min="11" max="11" width="10.5703125" bestFit="1" customWidth="1"/>
    <col min="12" max="12" width="13.28515625" bestFit="1" customWidth="1"/>
  </cols>
  <sheetData>
    <row r="1" spans="1:12" x14ac:dyDescent="0.25">
      <c r="A1" s="1" t="s">
        <v>9</v>
      </c>
      <c r="B1" s="1" t="s">
        <v>1</v>
      </c>
      <c r="C1" s="1" t="s">
        <v>0</v>
      </c>
      <c r="G1" t="s">
        <v>8</v>
      </c>
      <c r="I1" t="s">
        <v>16</v>
      </c>
      <c r="K1" t="s">
        <v>17</v>
      </c>
      <c r="L1" t="s">
        <v>18</v>
      </c>
    </row>
    <row r="2" spans="1:12" x14ac:dyDescent="0.25">
      <c r="A2" t="s">
        <v>10</v>
      </c>
      <c r="B2" s="1">
        <v>0</v>
      </c>
      <c r="C2" s="2">
        <f>_xlfn.BINOM.DIST(B2,$G$2,$I$2,)</f>
        <v>0.32768000000000003</v>
      </c>
      <c r="G2">
        <v>5</v>
      </c>
      <c r="I2">
        <v>0.2</v>
      </c>
      <c r="K2">
        <f>I2*G2</f>
        <v>1</v>
      </c>
      <c r="L2">
        <f>G2*I2*(1-I2)</f>
        <v>0.8</v>
      </c>
    </row>
    <row r="3" spans="1:12" x14ac:dyDescent="0.25">
      <c r="A3" t="s">
        <v>15</v>
      </c>
      <c r="B3" s="1">
        <v>1</v>
      </c>
      <c r="C3" s="2">
        <f t="shared" ref="C3:C7" si="0">_xlfn.BINOM.DIST(B3,$G$2,$I$2,)</f>
        <v>0.40959999999999996</v>
      </c>
    </row>
    <row r="4" spans="1:12" x14ac:dyDescent="0.25">
      <c r="A4" t="s">
        <v>11</v>
      </c>
      <c r="B4" s="1">
        <v>2</v>
      </c>
      <c r="C4" s="2">
        <f t="shared" si="0"/>
        <v>0.20480000000000001</v>
      </c>
    </row>
    <row r="5" spans="1:12" x14ac:dyDescent="0.25">
      <c r="A5" t="s">
        <v>12</v>
      </c>
      <c r="B5" s="1">
        <v>3</v>
      </c>
      <c r="C5" s="2">
        <f t="shared" si="0"/>
        <v>5.1199999999999996E-2</v>
      </c>
    </row>
    <row r="6" spans="1:12" x14ac:dyDescent="0.25">
      <c r="A6" t="s">
        <v>13</v>
      </c>
      <c r="B6" s="1">
        <v>4</v>
      </c>
      <c r="C6" s="2">
        <f t="shared" si="0"/>
        <v>6.4000000000000029E-3</v>
      </c>
    </row>
    <row r="7" spans="1:12" x14ac:dyDescent="0.25">
      <c r="A7" t="s">
        <v>14</v>
      </c>
      <c r="B7" s="1">
        <v>5</v>
      </c>
      <c r="C7" s="2">
        <f t="shared" si="0"/>
        <v>3.2000000000000008E-4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opLeftCell="A2" workbookViewId="0">
      <selection activeCell="H1" sqref="H1"/>
    </sheetView>
  </sheetViews>
  <sheetFormatPr defaultRowHeight="15" x14ac:dyDescent="0.25"/>
  <cols>
    <col min="2" max="2" width="12" bestFit="1" customWidth="1"/>
    <col min="8" max="8" width="31" customWidth="1"/>
  </cols>
  <sheetData>
    <row r="1" spans="1:9" x14ac:dyDescent="0.25">
      <c r="A1" s="4" t="s">
        <v>1</v>
      </c>
      <c r="B1" s="1" t="s">
        <v>0</v>
      </c>
      <c r="H1" s="3" t="s">
        <v>19</v>
      </c>
      <c r="I1">
        <v>20</v>
      </c>
    </row>
    <row r="2" spans="1:9" x14ac:dyDescent="0.25">
      <c r="A2" s="1">
        <v>0</v>
      </c>
      <c r="B2" s="1">
        <f>_xlfn.POISSON.DIST(A2,$I$1,)</f>
        <v>2.0611536224385579E-9</v>
      </c>
    </row>
    <row r="3" spans="1:9" x14ac:dyDescent="0.25">
      <c r="A3" s="1">
        <v>1</v>
      </c>
      <c r="B3" s="1">
        <f t="shared" ref="B3:B66" si="0">_xlfn.POISSON.DIST(A3,$I$1,)</f>
        <v>4.1223072448771152E-8</v>
      </c>
    </row>
    <row r="4" spans="1:9" x14ac:dyDescent="0.25">
      <c r="A4" s="1">
        <v>2</v>
      </c>
      <c r="B4" s="1">
        <f t="shared" si="0"/>
        <v>4.1223072448771121E-7</v>
      </c>
    </row>
    <row r="5" spans="1:9" x14ac:dyDescent="0.25">
      <c r="A5" s="1">
        <v>3</v>
      </c>
      <c r="B5" s="1">
        <f t="shared" si="0"/>
        <v>2.7482048299180789E-6</v>
      </c>
    </row>
    <row r="6" spans="1:9" x14ac:dyDescent="0.25">
      <c r="A6" s="1">
        <v>4</v>
      </c>
      <c r="B6" s="1">
        <f t="shared" si="0"/>
        <v>1.3741024149590403E-5</v>
      </c>
    </row>
    <row r="7" spans="1:9" x14ac:dyDescent="0.25">
      <c r="A7" s="1">
        <v>5</v>
      </c>
      <c r="B7" s="1">
        <f t="shared" si="0"/>
        <v>5.4964096598361591E-5</v>
      </c>
    </row>
    <row r="8" spans="1:9" x14ac:dyDescent="0.25">
      <c r="A8" s="1">
        <v>6</v>
      </c>
      <c r="B8" s="1">
        <f t="shared" si="0"/>
        <v>1.8321365532787196E-4</v>
      </c>
    </row>
    <row r="9" spans="1:9" x14ac:dyDescent="0.25">
      <c r="A9" s="1">
        <v>7</v>
      </c>
      <c r="B9" s="1">
        <f t="shared" si="0"/>
        <v>5.2346758665106302E-4</v>
      </c>
    </row>
    <row r="10" spans="1:9" x14ac:dyDescent="0.25">
      <c r="A10" s="1">
        <v>8</v>
      </c>
      <c r="B10" s="1">
        <f t="shared" si="0"/>
        <v>1.3086689666276553E-3</v>
      </c>
    </row>
    <row r="11" spans="1:9" x14ac:dyDescent="0.25">
      <c r="A11" s="1">
        <v>9</v>
      </c>
      <c r="B11" s="1">
        <f t="shared" si="0"/>
        <v>2.9081532591725681E-3</v>
      </c>
    </row>
    <row r="12" spans="1:9" x14ac:dyDescent="0.25">
      <c r="A12" s="1">
        <v>10</v>
      </c>
      <c r="B12" s="1">
        <f t="shared" si="0"/>
        <v>5.8163065183451353E-3</v>
      </c>
    </row>
    <row r="13" spans="1:9" x14ac:dyDescent="0.25">
      <c r="A13" s="1">
        <v>11</v>
      </c>
      <c r="B13" s="1">
        <f t="shared" si="0"/>
        <v>1.0575102760627515E-2</v>
      </c>
    </row>
    <row r="14" spans="1:9" x14ac:dyDescent="0.25">
      <c r="A14" s="1">
        <v>12</v>
      </c>
      <c r="B14" s="1">
        <f t="shared" si="0"/>
        <v>1.7625171267712545E-2</v>
      </c>
    </row>
    <row r="15" spans="1:9" x14ac:dyDescent="0.25">
      <c r="A15" s="1">
        <v>13</v>
      </c>
      <c r="B15" s="1">
        <f t="shared" si="0"/>
        <v>2.7115648104173135E-2</v>
      </c>
    </row>
    <row r="16" spans="1:9" x14ac:dyDescent="0.25">
      <c r="A16" s="1">
        <v>14</v>
      </c>
      <c r="B16" s="1">
        <f t="shared" si="0"/>
        <v>3.8736640148818745E-2</v>
      </c>
    </row>
    <row r="17" spans="1:2" x14ac:dyDescent="0.25">
      <c r="A17" s="1">
        <v>15</v>
      </c>
      <c r="B17" s="1">
        <f t="shared" si="0"/>
        <v>5.1648853531758354E-2</v>
      </c>
    </row>
    <row r="18" spans="1:2" x14ac:dyDescent="0.25">
      <c r="A18" s="1">
        <v>16</v>
      </c>
      <c r="B18" s="1">
        <f t="shared" si="0"/>
        <v>6.4561066914697929E-2</v>
      </c>
    </row>
    <row r="19" spans="1:2" x14ac:dyDescent="0.25">
      <c r="A19" s="1">
        <v>17</v>
      </c>
      <c r="B19" s="1">
        <f t="shared" si="0"/>
        <v>7.595419637023286E-2</v>
      </c>
    </row>
    <row r="20" spans="1:2" x14ac:dyDescent="0.25">
      <c r="A20" s="1">
        <v>18</v>
      </c>
      <c r="B20" s="1">
        <f t="shared" si="0"/>
        <v>8.4393551522480972E-2</v>
      </c>
    </row>
    <row r="21" spans="1:2" x14ac:dyDescent="0.25">
      <c r="A21" s="1">
        <v>19</v>
      </c>
      <c r="B21" s="1">
        <f t="shared" si="0"/>
        <v>8.8835317392085208E-2</v>
      </c>
    </row>
    <row r="22" spans="1:2" x14ac:dyDescent="0.25">
      <c r="A22" s="1">
        <v>20</v>
      </c>
      <c r="B22" s="1">
        <f t="shared" si="0"/>
        <v>8.8835317392085222E-2</v>
      </c>
    </row>
    <row r="23" spans="1:2" x14ac:dyDescent="0.25">
      <c r="A23" s="1">
        <v>21</v>
      </c>
      <c r="B23" s="1">
        <f t="shared" si="0"/>
        <v>8.4605064182938283E-2</v>
      </c>
    </row>
    <row r="24" spans="1:2" x14ac:dyDescent="0.25">
      <c r="A24" s="1">
        <v>22</v>
      </c>
      <c r="B24" s="1">
        <f t="shared" si="0"/>
        <v>7.6913694711762098E-2</v>
      </c>
    </row>
    <row r="25" spans="1:2" x14ac:dyDescent="0.25">
      <c r="A25" s="1">
        <v>23</v>
      </c>
      <c r="B25" s="1">
        <f t="shared" si="0"/>
        <v>6.6881473662401839E-2</v>
      </c>
    </row>
    <row r="26" spans="1:2" x14ac:dyDescent="0.25">
      <c r="A26" s="1">
        <v>24</v>
      </c>
      <c r="B26" s="1">
        <f t="shared" si="0"/>
        <v>5.5734561385334863E-2</v>
      </c>
    </row>
    <row r="27" spans="1:2" x14ac:dyDescent="0.25">
      <c r="A27" s="1">
        <v>25</v>
      </c>
      <c r="B27" s="1">
        <f t="shared" si="0"/>
        <v>4.4587649108267881E-2</v>
      </c>
    </row>
    <row r="28" spans="1:2" x14ac:dyDescent="0.25">
      <c r="A28" s="1">
        <v>26</v>
      </c>
      <c r="B28" s="1">
        <f t="shared" si="0"/>
        <v>3.4298191621744509E-2</v>
      </c>
    </row>
    <row r="29" spans="1:2" x14ac:dyDescent="0.25">
      <c r="A29" s="1">
        <v>27</v>
      </c>
      <c r="B29" s="1">
        <f t="shared" si="0"/>
        <v>2.5406067867958917E-2</v>
      </c>
    </row>
    <row r="30" spans="1:2" x14ac:dyDescent="0.25">
      <c r="A30" s="1">
        <v>28</v>
      </c>
      <c r="B30" s="1">
        <f t="shared" si="0"/>
        <v>1.8147191334256366E-2</v>
      </c>
    </row>
    <row r="31" spans="1:2" x14ac:dyDescent="0.25">
      <c r="A31" s="1">
        <v>29</v>
      </c>
      <c r="B31" s="1">
        <f t="shared" si="0"/>
        <v>1.2515304368452655E-2</v>
      </c>
    </row>
    <row r="32" spans="1:2" x14ac:dyDescent="0.25">
      <c r="A32" s="1">
        <v>30</v>
      </c>
      <c r="B32" s="1">
        <f t="shared" si="0"/>
        <v>8.3435362456351133E-3</v>
      </c>
    </row>
    <row r="33" spans="1:2" x14ac:dyDescent="0.25">
      <c r="A33" s="1">
        <v>31</v>
      </c>
      <c r="B33" s="1">
        <f t="shared" si="0"/>
        <v>5.3829266100871558E-3</v>
      </c>
    </row>
    <row r="34" spans="1:2" x14ac:dyDescent="0.25">
      <c r="A34" s="1">
        <v>32</v>
      </c>
      <c r="B34" s="1">
        <f t="shared" si="0"/>
        <v>3.3643291313044709E-3</v>
      </c>
    </row>
    <row r="35" spans="1:2" x14ac:dyDescent="0.25">
      <c r="A35" s="1">
        <v>33</v>
      </c>
      <c r="B35" s="1">
        <f t="shared" si="0"/>
        <v>2.0389873523057505E-3</v>
      </c>
    </row>
    <row r="36" spans="1:2" x14ac:dyDescent="0.25">
      <c r="A36" s="1">
        <v>34</v>
      </c>
      <c r="B36" s="1">
        <f t="shared" si="0"/>
        <v>1.199404324885734E-3</v>
      </c>
    </row>
    <row r="37" spans="1:2" x14ac:dyDescent="0.25">
      <c r="A37" s="1">
        <v>35</v>
      </c>
      <c r="B37" s="1">
        <f t="shared" si="0"/>
        <v>6.8537389993470344E-4</v>
      </c>
    </row>
    <row r="38" spans="1:2" x14ac:dyDescent="0.25">
      <c r="A38" s="1">
        <v>36</v>
      </c>
      <c r="B38" s="1">
        <f t="shared" si="0"/>
        <v>3.8076327774150232E-4</v>
      </c>
    </row>
    <row r="39" spans="1:2" x14ac:dyDescent="0.25">
      <c r="A39" s="1">
        <v>37</v>
      </c>
      <c r="B39" s="1">
        <f t="shared" si="0"/>
        <v>2.0581798796837891E-4</v>
      </c>
    </row>
    <row r="40" spans="1:2" x14ac:dyDescent="0.25">
      <c r="A40" s="1">
        <v>38</v>
      </c>
      <c r="B40" s="1">
        <f t="shared" si="0"/>
        <v>1.0832525682546335E-4</v>
      </c>
    </row>
    <row r="41" spans="1:2" x14ac:dyDescent="0.25">
      <c r="A41" s="1">
        <v>39</v>
      </c>
      <c r="B41" s="1">
        <f t="shared" si="0"/>
        <v>5.5551413756647715E-5</v>
      </c>
    </row>
    <row r="42" spans="1:2" x14ac:dyDescent="0.25">
      <c r="A42" s="1">
        <v>40</v>
      </c>
      <c r="B42" s="1">
        <f t="shared" si="0"/>
        <v>2.7775706878323834E-5</v>
      </c>
    </row>
    <row r="43" spans="1:2" x14ac:dyDescent="0.25">
      <c r="A43" s="1">
        <v>41</v>
      </c>
      <c r="B43" s="1">
        <f t="shared" si="0"/>
        <v>1.3549125306499445E-5</v>
      </c>
    </row>
    <row r="44" spans="1:2" x14ac:dyDescent="0.25">
      <c r="A44" s="1">
        <v>42</v>
      </c>
      <c r="B44" s="1">
        <f t="shared" si="0"/>
        <v>6.4519644316664028E-6</v>
      </c>
    </row>
    <row r="45" spans="1:2" x14ac:dyDescent="0.25">
      <c r="A45" s="1">
        <v>43</v>
      </c>
      <c r="B45" s="1">
        <f t="shared" si="0"/>
        <v>3.0009136891471711E-6</v>
      </c>
    </row>
    <row r="46" spans="1:2" x14ac:dyDescent="0.25">
      <c r="A46" s="1">
        <v>44</v>
      </c>
      <c r="B46" s="1">
        <f t="shared" si="0"/>
        <v>1.3640516768850688E-6</v>
      </c>
    </row>
    <row r="47" spans="1:2" x14ac:dyDescent="0.25">
      <c r="A47" s="1">
        <v>45</v>
      </c>
      <c r="B47" s="1">
        <f t="shared" si="0"/>
        <v>6.0624518972670115E-7</v>
      </c>
    </row>
    <row r="48" spans="1:2" x14ac:dyDescent="0.25">
      <c r="A48" s="1">
        <v>46</v>
      </c>
      <c r="B48" s="1">
        <f t="shared" si="0"/>
        <v>2.6358486509856742E-7</v>
      </c>
    </row>
    <row r="49" spans="1:2" x14ac:dyDescent="0.25">
      <c r="A49" s="1">
        <v>47</v>
      </c>
      <c r="B49" s="1">
        <f t="shared" si="0"/>
        <v>1.1216377238236792E-7</v>
      </c>
    </row>
    <row r="50" spans="1:2" x14ac:dyDescent="0.25">
      <c r="A50" s="1">
        <v>48</v>
      </c>
      <c r="B50" s="1">
        <f t="shared" si="0"/>
        <v>4.6734905159320215E-8</v>
      </c>
    </row>
    <row r="51" spans="1:2" x14ac:dyDescent="0.25">
      <c r="A51" s="1">
        <v>49</v>
      </c>
      <c r="B51" s="1">
        <f t="shared" si="0"/>
        <v>1.9075471493599922E-8</v>
      </c>
    </row>
    <row r="52" spans="1:2" x14ac:dyDescent="0.25">
      <c r="A52" s="1">
        <v>50</v>
      </c>
      <c r="B52" s="1">
        <f t="shared" si="0"/>
        <v>7.6301885974399753E-9</v>
      </c>
    </row>
    <row r="53" spans="1:2" x14ac:dyDescent="0.25">
      <c r="A53" s="1">
        <v>51</v>
      </c>
      <c r="B53" s="1">
        <f t="shared" si="0"/>
        <v>2.9922308225254937E-9</v>
      </c>
    </row>
    <row r="54" spans="1:2" x14ac:dyDescent="0.25">
      <c r="A54" s="1">
        <v>52</v>
      </c>
      <c r="B54" s="1">
        <f t="shared" si="0"/>
        <v>1.1508580086636487E-9</v>
      </c>
    </row>
    <row r="55" spans="1:2" x14ac:dyDescent="0.25">
      <c r="A55" s="1">
        <v>53</v>
      </c>
      <c r="B55" s="1">
        <f t="shared" si="0"/>
        <v>4.3428604100515208E-10</v>
      </c>
    </row>
    <row r="56" spans="1:2" x14ac:dyDescent="0.25">
      <c r="A56" s="1">
        <v>54</v>
      </c>
      <c r="B56" s="1">
        <f t="shared" si="0"/>
        <v>1.6084668185375959E-10</v>
      </c>
    </row>
    <row r="57" spans="1:2" x14ac:dyDescent="0.25">
      <c r="A57" s="1">
        <v>55</v>
      </c>
      <c r="B57" s="1">
        <f t="shared" si="0"/>
        <v>5.8489702492276397E-11</v>
      </c>
    </row>
    <row r="58" spans="1:2" x14ac:dyDescent="0.25">
      <c r="A58" s="1">
        <v>56</v>
      </c>
      <c r="B58" s="1">
        <f t="shared" si="0"/>
        <v>2.0889179461527371E-11</v>
      </c>
    </row>
    <row r="59" spans="1:2" x14ac:dyDescent="0.25">
      <c r="A59" s="1">
        <v>57</v>
      </c>
      <c r="B59" s="1">
        <f t="shared" si="0"/>
        <v>7.3295366531674163E-12</v>
      </c>
    </row>
    <row r="60" spans="1:2" x14ac:dyDescent="0.25">
      <c r="A60" s="1">
        <v>58</v>
      </c>
      <c r="B60" s="1">
        <f t="shared" si="0"/>
        <v>2.5274264321267186E-12</v>
      </c>
    </row>
    <row r="61" spans="1:2" x14ac:dyDescent="0.25">
      <c r="A61" s="1">
        <v>59</v>
      </c>
      <c r="B61" s="1">
        <f t="shared" si="0"/>
        <v>8.5675472275481872E-13</v>
      </c>
    </row>
    <row r="62" spans="1:2" x14ac:dyDescent="0.25">
      <c r="A62" s="1">
        <v>60</v>
      </c>
      <c r="B62" s="1">
        <f t="shared" si="0"/>
        <v>2.8558490758493792E-13</v>
      </c>
    </row>
    <row r="63" spans="1:2" x14ac:dyDescent="0.25">
      <c r="A63" s="1">
        <v>61</v>
      </c>
      <c r="B63" s="1">
        <f t="shared" si="0"/>
        <v>9.3634395929488108E-14</v>
      </c>
    </row>
    <row r="64" spans="1:2" x14ac:dyDescent="0.25">
      <c r="A64" s="1">
        <v>62</v>
      </c>
      <c r="B64" s="1">
        <f t="shared" si="0"/>
        <v>3.0204643848221739E-14</v>
      </c>
    </row>
    <row r="65" spans="1:2" x14ac:dyDescent="0.25">
      <c r="A65" s="1">
        <v>63</v>
      </c>
      <c r="B65" s="1">
        <f t="shared" si="0"/>
        <v>9.5887758248323169E-15</v>
      </c>
    </row>
    <row r="66" spans="1:2" x14ac:dyDescent="0.25">
      <c r="A66" s="1">
        <v>64</v>
      </c>
      <c r="B66" s="1">
        <f t="shared" si="0"/>
        <v>2.9964924452601169E-15</v>
      </c>
    </row>
    <row r="67" spans="1:2" x14ac:dyDescent="0.25">
      <c r="A67" s="1">
        <v>65</v>
      </c>
      <c r="B67" s="1">
        <f t="shared" ref="B67:B72" si="1">_xlfn.POISSON.DIST(A67,$I$1,)</f>
        <v>9.2199767546464442E-16</v>
      </c>
    </row>
    <row r="68" spans="1:2" x14ac:dyDescent="0.25">
      <c r="A68" s="1">
        <v>66</v>
      </c>
      <c r="B68" s="1">
        <f t="shared" si="1"/>
        <v>2.7939323498928751E-16</v>
      </c>
    </row>
    <row r="69" spans="1:2" x14ac:dyDescent="0.25">
      <c r="A69" s="1">
        <v>67</v>
      </c>
      <c r="B69" s="1">
        <f t="shared" si="1"/>
        <v>8.3400965668444131E-17</v>
      </c>
    </row>
    <row r="70" spans="1:2" x14ac:dyDescent="0.25">
      <c r="A70" s="1">
        <v>68</v>
      </c>
      <c r="B70" s="1">
        <f t="shared" si="1"/>
        <v>2.452969578483656E-17</v>
      </c>
    </row>
    <row r="71" spans="1:2" x14ac:dyDescent="0.25">
      <c r="A71" s="1">
        <v>69</v>
      </c>
      <c r="B71" s="1">
        <f t="shared" si="1"/>
        <v>7.1100567492279451E-18</v>
      </c>
    </row>
    <row r="72" spans="1:2" x14ac:dyDescent="0.25">
      <c r="A72" s="1">
        <v>70</v>
      </c>
      <c r="B72" s="1">
        <f t="shared" si="1"/>
        <v>2.0314447854936928E-18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workbookViewId="0">
      <selection activeCell="M2" sqref="M2"/>
    </sheetView>
  </sheetViews>
  <sheetFormatPr defaultRowHeight="15" x14ac:dyDescent="0.25"/>
  <cols>
    <col min="8" max="8" width="25.7109375" bestFit="1" customWidth="1"/>
    <col min="12" max="13" width="11.42578125" bestFit="1" customWidth="1"/>
  </cols>
  <sheetData>
    <row r="1" spans="1:13" x14ac:dyDescent="0.25">
      <c r="A1" s="4" t="s">
        <v>1</v>
      </c>
      <c r="B1" s="1" t="s">
        <v>0</v>
      </c>
      <c r="H1" t="s">
        <v>20</v>
      </c>
      <c r="I1">
        <v>20</v>
      </c>
      <c r="L1" s="6" t="s">
        <v>21</v>
      </c>
      <c r="M1" s="6" t="s">
        <v>22</v>
      </c>
    </row>
    <row r="2" spans="1:13" x14ac:dyDescent="0.25">
      <c r="A2" s="1">
        <v>0</v>
      </c>
      <c r="B2" s="1">
        <f>_xlfn.POISSON.DIST(A2,$I$1,)</f>
        <v>2.0611536224385579E-9</v>
      </c>
      <c r="L2" s="5">
        <f>_xlfn.POISSON.DIST(7,20,)</f>
        <v>5.2346758665106302E-4</v>
      </c>
      <c r="M2" s="7">
        <f>SUM(B17:B19)</f>
        <v>0.19216411681668916</v>
      </c>
    </row>
    <row r="3" spans="1:13" x14ac:dyDescent="0.25">
      <c r="A3" s="1">
        <v>1</v>
      </c>
      <c r="B3" s="1">
        <f t="shared" ref="B3:B66" si="0">_xlfn.POISSON.DIST(A3,$I$1,)</f>
        <v>4.1223072448771152E-8</v>
      </c>
    </row>
    <row r="4" spans="1:13" x14ac:dyDescent="0.25">
      <c r="A4" s="1">
        <v>2</v>
      </c>
      <c r="B4" s="1">
        <f t="shared" si="0"/>
        <v>4.1223072448771121E-7</v>
      </c>
    </row>
    <row r="5" spans="1:13" x14ac:dyDescent="0.25">
      <c r="A5" s="1">
        <v>3</v>
      </c>
      <c r="B5" s="1">
        <f t="shared" si="0"/>
        <v>2.7482048299180789E-6</v>
      </c>
    </row>
    <row r="6" spans="1:13" x14ac:dyDescent="0.25">
      <c r="A6" s="1">
        <v>4</v>
      </c>
      <c r="B6" s="1">
        <f t="shared" si="0"/>
        <v>1.3741024149590403E-5</v>
      </c>
    </row>
    <row r="7" spans="1:13" x14ac:dyDescent="0.25">
      <c r="A7" s="1">
        <v>5</v>
      </c>
      <c r="B7" s="1">
        <f t="shared" si="0"/>
        <v>5.4964096598361591E-5</v>
      </c>
    </row>
    <row r="8" spans="1:13" x14ac:dyDescent="0.25">
      <c r="A8" s="1">
        <v>6</v>
      </c>
      <c r="B8" s="1">
        <f t="shared" si="0"/>
        <v>1.8321365532787196E-4</v>
      </c>
    </row>
    <row r="9" spans="1:13" x14ac:dyDescent="0.25">
      <c r="A9" s="1">
        <v>7</v>
      </c>
      <c r="B9" s="1">
        <f t="shared" si="0"/>
        <v>5.2346758665106302E-4</v>
      </c>
    </row>
    <row r="10" spans="1:13" x14ac:dyDescent="0.25">
      <c r="A10" s="1">
        <v>8</v>
      </c>
      <c r="B10" s="1">
        <f t="shared" si="0"/>
        <v>1.3086689666276553E-3</v>
      </c>
    </row>
    <row r="11" spans="1:13" x14ac:dyDescent="0.25">
      <c r="A11" s="1">
        <v>9</v>
      </c>
      <c r="B11" s="1">
        <f t="shared" si="0"/>
        <v>2.9081532591725681E-3</v>
      </c>
    </row>
    <row r="12" spans="1:13" x14ac:dyDescent="0.25">
      <c r="A12" s="1">
        <v>10</v>
      </c>
      <c r="B12" s="1">
        <f t="shared" si="0"/>
        <v>5.8163065183451353E-3</v>
      </c>
    </row>
    <row r="13" spans="1:13" x14ac:dyDescent="0.25">
      <c r="A13" s="1">
        <v>11</v>
      </c>
      <c r="B13" s="1">
        <f t="shared" si="0"/>
        <v>1.0575102760627515E-2</v>
      </c>
    </row>
    <row r="14" spans="1:13" x14ac:dyDescent="0.25">
      <c r="A14" s="1">
        <v>12</v>
      </c>
      <c r="B14" s="1">
        <f t="shared" si="0"/>
        <v>1.7625171267712545E-2</v>
      </c>
    </row>
    <row r="15" spans="1:13" x14ac:dyDescent="0.25">
      <c r="A15" s="1">
        <v>13</v>
      </c>
      <c r="B15" s="1">
        <f t="shared" si="0"/>
        <v>2.7115648104173135E-2</v>
      </c>
    </row>
    <row r="16" spans="1:13" x14ac:dyDescent="0.25">
      <c r="A16" s="1">
        <v>14</v>
      </c>
      <c r="B16" s="1">
        <f t="shared" si="0"/>
        <v>3.8736640148818745E-2</v>
      </c>
    </row>
    <row r="17" spans="1:2" x14ac:dyDescent="0.25">
      <c r="A17" s="1">
        <v>15</v>
      </c>
      <c r="B17" s="1">
        <f t="shared" si="0"/>
        <v>5.1648853531758354E-2</v>
      </c>
    </row>
    <row r="18" spans="1:2" x14ac:dyDescent="0.25">
      <c r="A18" s="1">
        <v>16</v>
      </c>
      <c r="B18" s="1">
        <f t="shared" si="0"/>
        <v>6.4561066914697929E-2</v>
      </c>
    </row>
    <row r="19" spans="1:2" x14ac:dyDescent="0.25">
      <c r="A19" s="1">
        <v>17</v>
      </c>
      <c r="B19" s="1">
        <f t="shared" si="0"/>
        <v>7.595419637023286E-2</v>
      </c>
    </row>
    <row r="20" spans="1:2" x14ac:dyDescent="0.25">
      <c r="A20" s="1">
        <v>18</v>
      </c>
      <c r="B20" s="1">
        <f t="shared" si="0"/>
        <v>8.4393551522480972E-2</v>
      </c>
    </row>
    <row r="21" spans="1:2" x14ac:dyDescent="0.25">
      <c r="A21" s="1">
        <v>19</v>
      </c>
      <c r="B21" s="1">
        <f t="shared" si="0"/>
        <v>8.8835317392085208E-2</v>
      </c>
    </row>
    <row r="22" spans="1:2" x14ac:dyDescent="0.25">
      <c r="A22" s="1">
        <v>20</v>
      </c>
      <c r="B22" s="1">
        <f t="shared" si="0"/>
        <v>8.8835317392085222E-2</v>
      </c>
    </row>
    <row r="23" spans="1:2" x14ac:dyDescent="0.25">
      <c r="A23" s="1">
        <v>21</v>
      </c>
      <c r="B23" s="1">
        <f t="shared" si="0"/>
        <v>8.4605064182938283E-2</v>
      </c>
    </row>
    <row r="24" spans="1:2" x14ac:dyDescent="0.25">
      <c r="A24" s="1">
        <v>22</v>
      </c>
      <c r="B24" s="1">
        <f t="shared" si="0"/>
        <v>7.6913694711762098E-2</v>
      </c>
    </row>
    <row r="25" spans="1:2" x14ac:dyDescent="0.25">
      <c r="A25" s="1">
        <v>23</v>
      </c>
      <c r="B25" s="1">
        <f t="shared" si="0"/>
        <v>6.6881473662401839E-2</v>
      </c>
    </row>
    <row r="26" spans="1:2" x14ac:dyDescent="0.25">
      <c r="A26" s="1">
        <v>24</v>
      </c>
      <c r="B26" s="1">
        <f t="shared" si="0"/>
        <v>5.5734561385334863E-2</v>
      </c>
    </row>
    <row r="27" spans="1:2" x14ac:dyDescent="0.25">
      <c r="A27" s="1">
        <v>25</v>
      </c>
      <c r="B27" s="1">
        <f t="shared" si="0"/>
        <v>4.4587649108267881E-2</v>
      </c>
    </row>
    <row r="28" spans="1:2" x14ac:dyDescent="0.25">
      <c r="A28" s="1">
        <v>26</v>
      </c>
      <c r="B28" s="1">
        <f t="shared" si="0"/>
        <v>3.4298191621744509E-2</v>
      </c>
    </row>
    <row r="29" spans="1:2" x14ac:dyDescent="0.25">
      <c r="A29" s="1">
        <v>27</v>
      </c>
      <c r="B29" s="1">
        <f t="shared" si="0"/>
        <v>2.5406067867958917E-2</v>
      </c>
    </row>
    <row r="30" spans="1:2" x14ac:dyDescent="0.25">
      <c r="A30" s="1">
        <v>28</v>
      </c>
      <c r="B30" s="1">
        <f t="shared" si="0"/>
        <v>1.8147191334256366E-2</v>
      </c>
    </row>
    <row r="31" spans="1:2" x14ac:dyDescent="0.25">
      <c r="A31" s="1">
        <v>29</v>
      </c>
      <c r="B31" s="1">
        <f t="shared" si="0"/>
        <v>1.2515304368452655E-2</v>
      </c>
    </row>
    <row r="32" spans="1:2" x14ac:dyDescent="0.25">
      <c r="A32" s="1">
        <v>30</v>
      </c>
      <c r="B32" s="1">
        <f t="shared" si="0"/>
        <v>8.3435362456351133E-3</v>
      </c>
    </row>
    <row r="33" spans="1:2" x14ac:dyDescent="0.25">
      <c r="A33" s="1">
        <v>31</v>
      </c>
      <c r="B33" s="1">
        <f t="shared" si="0"/>
        <v>5.3829266100871558E-3</v>
      </c>
    </row>
    <row r="34" spans="1:2" x14ac:dyDescent="0.25">
      <c r="A34" s="1">
        <v>32</v>
      </c>
      <c r="B34" s="1">
        <f t="shared" si="0"/>
        <v>3.3643291313044709E-3</v>
      </c>
    </row>
    <row r="35" spans="1:2" x14ac:dyDescent="0.25">
      <c r="A35" s="1">
        <v>33</v>
      </c>
      <c r="B35" s="1">
        <f t="shared" si="0"/>
        <v>2.0389873523057505E-3</v>
      </c>
    </row>
    <row r="36" spans="1:2" x14ac:dyDescent="0.25">
      <c r="A36" s="1">
        <v>34</v>
      </c>
      <c r="B36" s="1">
        <f t="shared" si="0"/>
        <v>1.199404324885734E-3</v>
      </c>
    </row>
    <row r="37" spans="1:2" x14ac:dyDescent="0.25">
      <c r="A37" s="1">
        <v>35</v>
      </c>
      <c r="B37" s="1">
        <f t="shared" si="0"/>
        <v>6.8537389993470344E-4</v>
      </c>
    </row>
    <row r="38" spans="1:2" x14ac:dyDescent="0.25">
      <c r="A38" s="1">
        <v>36</v>
      </c>
      <c r="B38" s="1">
        <f t="shared" si="0"/>
        <v>3.8076327774150232E-4</v>
      </c>
    </row>
    <row r="39" spans="1:2" x14ac:dyDescent="0.25">
      <c r="A39" s="1">
        <v>37</v>
      </c>
      <c r="B39" s="1">
        <f t="shared" si="0"/>
        <v>2.0581798796837891E-4</v>
      </c>
    </row>
    <row r="40" spans="1:2" x14ac:dyDescent="0.25">
      <c r="A40" s="1">
        <v>38</v>
      </c>
      <c r="B40" s="1">
        <f t="shared" si="0"/>
        <v>1.0832525682546335E-4</v>
      </c>
    </row>
    <row r="41" spans="1:2" x14ac:dyDescent="0.25">
      <c r="A41" s="1">
        <v>39</v>
      </c>
      <c r="B41" s="1">
        <f t="shared" si="0"/>
        <v>5.5551413756647715E-5</v>
      </c>
    </row>
    <row r="42" spans="1:2" x14ac:dyDescent="0.25">
      <c r="A42" s="1">
        <v>40</v>
      </c>
      <c r="B42" s="1">
        <f t="shared" si="0"/>
        <v>2.7775706878323834E-5</v>
      </c>
    </row>
    <row r="43" spans="1:2" x14ac:dyDescent="0.25">
      <c r="A43" s="1">
        <v>41</v>
      </c>
      <c r="B43" s="1">
        <f t="shared" si="0"/>
        <v>1.3549125306499445E-5</v>
      </c>
    </row>
    <row r="44" spans="1:2" x14ac:dyDescent="0.25">
      <c r="A44" s="1">
        <v>42</v>
      </c>
      <c r="B44" s="1">
        <f t="shared" si="0"/>
        <v>6.4519644316664028E-6</v>
      </c>
    </row>
    <row r="45" spans="1:2" x14ac:dyDescent="0.25">
      <c r="A45" s="1">
        <v>43</v>
      </c>
      <c r="B45" s="1">
        <f t="shared" si="0"/>
        <v>3.0009136891471711E-6</v>
      </c>
    </row>
    <row r="46" spans="1:2" x14ac:dyDescent="0.25">
      <c r="A46" s="1">
        <v>44</v>
      </c>
      <c r="B46" s="1">
        <f t="shared" si="0"/>
        <v>1.3640516768850688E-6</v>
      </c>
    </row>
    <row r="47" spans="1:2" x14ac:dyDescent="0.25">
      <c r="A47" s="1">
        <v>45</v>
      </c>
      <c r="B47" s="1">
        <f t="shared" si="0"/>
        <v>6.0624518972670115E-7</v>
      </c>
    </row>
    <row r="48" spans="1:2" x14ac:dyDescent="0.25">
      <c r="A48" s="1">
        <v>46</v>
      </c>
      <c r="B48" s="1">
        <f t="shared" si="0"/>
        <v>2.6358486509856742E-7</v>
      </c>
    </row>
    <row r="49" spans="1:2" x14ac:dyDescent="0.25">
      <c r="A49" s="1">
        <v>47</v>
      </c>
      <c r="B49" s="1">
        <f t="shared" si="0"/>
        <v>1.1216377238236792E-7</v>
      </c>
    </row>
    <row r="50" spans="1:2" x14ac:dyDescent="0.25">
      <c r="A50" s="1">
        <v>48</v>
      </c>
      <c r="B50" s="1">
        <f t="shared" si="0"/>
        <v>4.6734905159320215E-8</v>
      </c>
    </row>
    <row r="51" spans="1:2" x14ac:dyDescent="0.25">
      <c r="A51" s="1">
        <v>49</v>
      </c>
      <c r="B51" s="1">
        <f t="shared" si="0"/>
        <v>1.9075471493599922E-8</v>
      </c>
    </row>
    <row r="52" spans="1:2" x14ac:dyDescent="0.25">
      <c r="A52" s="1">
        <v>50</v>
      </c>
      <c r="B52" s="1">
        <f t="shared" si="0"/>
        <v>7.6301885974399753E-9</v>
      </c>
    </row>
    <row r="53" spans="1:2" x14ac:dyDescent="0.25">
      <c r="A53" s="1">
        <v>51</v>
      </c>
      <c r="B53" s="1">
        <f t="shared" si="0"/>
        <v>2.9922308225254937E-9</v>
      </c>
    </row>
    <row r="54" spans="1:2" x14ac:dyDescent="0.25">
      <c r="A54" s="1">
        <v>52</v>
      </c>
      <c r="B54" s="1">
        <f t="shared" si="0"/>
        <v>1.1508580086636487E-9</v>
      </c>
    </row>
    <row r="55" spans="1:2" x14ac:dyDescent="0.25">
      <c r="A55" s="1">
        <v>53</v>
      </c>
      <c r="B55" s="1">
        <f t="shared" si="0"/>
        <v>4.3428604100515208E-10</v>
      </c>
    </row>
    <row r="56" spans="1:2" x14ac:dyDescent="0.25">
      <c r="A56" s="1">
        <v>54</v>
      </c>
      <c r="B56" s="1">
        <f t="shared" si="0"/>
        <v>1.6084668185375959E-10</v>
      </c>
    </row>
    <row r="57" spans="1:2" x14ac:dyDescent="0.25">
      <c r="A57" s="1">
        <v>55</v>
      </c>
      <c r="B57" s="1">
        <f t="shared" si="0"/>
        <v>5.8489702492276397E-11</v>
      </c>
    </row>
    <row r="58" spans="1:2" x14ac:dyDescent="0.25">
      <c r="A58" s="1">
        <v>56</v>
      </c>
      <c r="B58" s="1">
        <f t="shared" si="0"/>
        <v>2.0889179461527371E-11</v>
      </c>
    </row>
    <row r="59" spans="1:2" x14ac:dyDescent="0.25">
      <c r="A59" s="1">
        <v>57</v>
      </c>
      <c r="B59" s="1">
        <f t="shared" si="0"/>
        <v>7.3295366531674163E-12</v>
      </c>
    </row>
    <row r="60" spans="1:2" x14ac:dyDescent="0.25">
      <c r="A60" s="1">
        <v>58</v>
      </c>
      <c r="B60" s="1">
        <f t="shared" si="0"/>
        <v>2.5274264321267186E-12</v>
      </c>
    </row>
    <row r="61" spans="1:2" x14ac:dyDescent="0.25">
      <c r="A61" s="1">
        <v>59</v>
      </c>
      <c r="B61" s="1">
        <f t="shared" si="0"/>
        <v>8.5675472275481872E-13</v>
      </c>
    </row>
    <row r="62" spans="1:2" x14ac:dyDescent="0.25">
      <c r="A62" s="1">
        <v>60</v>
      </c>
      <c r="B62" s="1">
        <f t="shared" si="0"/>
        <v>2.8558490758493792E-13</v>
      </c>
    </row>
    <row r="63" spans="1:2" x14ac:dyDescent="0.25">
      <c r="A63" s="1">
        <v>61</v>
      </c>
      <c r="B63" s="1">
        <f t="shared" si="0"/>
        <v>9.3634395929488108E-14</v>
      </c>
    </row>
    <row r="64" spans="1:2" x14ac:dyDescent="0.25">
      <c r="A64" s="1">
        <v>62</v>
      </c>
      <c r="B64" s="1">
        <f t="shared" si="0"/>
        <v>3.0204643848221739E-14</v>
      </c>
    </row>
    <row r="65" spans="1:2" x14ac:dyDescent="0.25">
      <c r="A65" s="1">
        <v>63</v>
      </c>
      <c r="B65" s="1">
        <f t="shared" si="0"/>
        <v>9.5887758248323169E-15</v>
      </c>
    </row>
    <row r="66" spans="1:2" x14ac:dyDescent="0.25">
      <c r="A66" s="1">
        <v>64</v>
      </c>
      <c r="B66" s="1">
        <f t="shared" si="0"/>
        <v>2.9964924452601169E-15</v>
      </c>
    </row>
    <row r="67" spans="1:2" x14ac:dyDescent="0.25">
      <c r="A67" s="1">
        <v>65</v>
      </c>
      <c r="B67" s="1">
        <f t="shared" ref="B67:B72" si="1">_xlfn.POISSON.DIST(A67,$I$1,)</f>
        <v>9.2199767546464442E-16</v>
      </c>
    </row>
    <row r="68" spans="1:2" x14ac:dyDescent="0.25">
      <c r="A68" s="1">
        <v>66</v>
      </c>
      <c r="B68" s="1">
        <f t="shared" si="1"/>
        <v>2.7939323498928751E-16</v>
      </c>
    </row>
    <row r="69" spans="1:2" x14ac:dyDescent="0.25">
      <c r="A69" s="1">
        <v>67</v>
      </c>
      <c r="B69" s="1">
        <f t="shared" si="1"/>
        <v>8.3400965668444131E-17</v>
      </c>
    </row>
    <row r="70" spans="1:2" x14ac:dyDescent="0.25">
      <c r="A70" s="1">
        <v>68</v>
      </c>
      <c r="B70" s="1">
        <f t="shared" si="1"/>
        <v>2.452969578483656E-17</v>
      </c>
    </row>
    <row r="71" spans="1:2" x14ac:dyDescent="0.25">
      <c r="A71" s="1">
        <v>69</v>
      </c>
      <c r="B71" s="1">
        <f t="shared" si="1"/>
        <v>7.1100567492279451E-18</v>
      </c>
    </row>
    <row r="72" spans="1:2" x14ac:dyDescent="0.25">
      <c r="A72" s="1">
        <v>70</v>
      </c>
      <c r="B72" s="1">
        <f t="shared" si="1"/>
        <v>2.0314447854936928E-18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dist_uniforme</vt:lpstr>
      <vt:lpstr>dist_bernoulli</vt:lpstr>
      <vt:lpstr>dist_binomial</vt:lpstr>
      <vt:lpstr>dist_poisson</vt:lpstr>
      <vt:lpstr>problema_resolvido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Alcides</dc:creator>
  <cp:lastModifiedBy>Neto Alcides</cp:lastModifiedBy>
  <dcterms:created xsi:type="dcterms:W3CDTF">2019-07-28T00:56:36Z</dcterms:created>
  <dcterms:modified xsi:type="dcterms:W3CDTF">2021-08-30T23:27:50Z</dcterms:modified>
</cp:coreProperties>
</file>