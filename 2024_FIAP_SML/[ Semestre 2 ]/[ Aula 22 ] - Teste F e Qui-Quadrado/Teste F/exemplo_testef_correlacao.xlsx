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00575a3e5205fb66/Documents/_profissional/_FIAP/_SML/[ Semestre 2 ]/[ Aula 22 ]/aula10/testeF_correlacao/"/>
    </mc:Choice>
  </mc:AlternateContent>
  <xr:revisionPtr revIDLastSave="0" documentId="11_1FE9E2393E3884F364033DAFE65846B5CFA8537F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xemplo_1" sheetId="1" r:id="rId1"/>
    <sheet name="exemplo_2" sheetId="2" r:id="rId2"/>
    <sheet name="exemplo_nps" sheetId="3" r:id="rId3"/>
    <sheet name="exemplo_correlacao" sheetId="4" r:id="rId4"/>
    <sheet name="Planilha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C21" i="5"/>
  <c r="C22" i="5"/>
  <c r="C23" i="5"/>
  <c r="C24" i="5"/>
  <c r="C25" i="5"/>
  <c r="C26" i="5"/>
  <c r="C27" i="5"/>
  <c r="C28" i="5"/>
  <c r="C29" i="5"/>
  <c r="C30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" i="5"/>
  <c r="G18" i="5" l="1"/>
  <c r="G19" i="5"/>
  <c r="G10" i="5"/>
  <c r="G11" i="5"/>
  <c r="G30" i="5"/>
  <c r="G22" i="5"/>
  <c r="G3" i="5"/>
  <c r="G23" i="5"/>
  <c r="G16" i="5"/>
  <c r="G8" i="5"/>
  <c r="G28" i="5"/>
  <c r="G9" i="5"/>
  <c r="G15" i="5"/>
  <c r="G2" i="5"/>
  <c r="G17" i="5"/>
  <c r="G7" i="5"/>
  <c r="G14" i="5"/>
  <c r="G6" i="5"/>
  <c r="G26" i="5"/>
  <c r="G29" i="5"/>
  <c r="G13" i="5"/>
  <c r="G5" i="5"/>
  <c r="G25" i="5"/>
  <c r="G21" i="5"/>
  <c r="G27" i="5"/>
  <c r="G20" i="5"/>
  <c r="G12" i="5"/>
  <c r="G4" i="5"/>
  <c r="G24" i="5"/>
  <c r="F20" i="5"/>
  <c r="F4" i="5"/>
  <c r="F12" i="5"/>
  <c r="F11" i="5"/>
  <c r="F23" i="5"/>
  <c r="F30" i="5"/>
  <c r="F22" i="5"/>
  <c r="F29" i="5"/>
  <c r="F21" i="5"/>
  <c r="F3" i="5"/>
  <c r="F26" i="5"/>
  <c r="F14" i="5"/>
  <c r="F19" i="5"/>
  <c r="F28" i="5"/>
  <c r="F15" i="5"/>
  <c r="F27" i="5"/>
  <c r="F17" i="5"/>
  <c r="F8" i="5"/>
  <c r="F13" i="5"/>
  <c r="F5" i="5"/>
  <c r="F10" i="5"/>
  <c r="F24" i="5"/>
  <c r="F16" i="5"/>
  <c r="F18" i="5"/>
  <c r="F2" i="5"/>
  <c r="F7" i="5"/>
  <c r="F6" i="5"/>
  <c r="F9" i="5"/>
  <c r="F25" i="5"/>
  <c r="D2" i="4"/>
  <c r="I2" i="2" l="1"/>
  <c r="J2" i="2" s="1"/>
  <c r="B6" i="2"/>
  <c r="I4" i="2" s="1"/>
  <c r="H4" i="3"/>
  <c r="H3" i="3"/>
  <c r="I3" i="3" s="1"/>
  <c r="H2" i="3"/>
  <c r="G7" i="3" s="1"/>
  <c r="B6" i="3"/>
  <c r="I3" i="2" l="1"/>
  <c r="J3" i="2" s="1"/>
  <c r="I2" i="3"/>
  <c r="J8" i="2"/>
  <c r="G8" i="3"/>
  <c r="J9" i="2"/>
  <c r="K2" i="2"/>
  <c r="J7" i="2" s="1"/>
  <c r="J2" i="3"/>
  <c r="G6" i="3" s="1"/>
  <c r="D11" i="1"/>
  <c r="D12" i="1"/>
  <c r="D10" i="1"/>
</calcChain>
</file>

<file path=xl/sharedStrings.xml><?xml version="1.0" encoding="utf-8"?>
<sst xmlns="http://schemas.openxmlformats.org/spreadsheetml/2006/main" count="60" uniqueCount="39">
  <si>
    <t>Métricas</t>
  </si>
  <si>
    <t>PJ</t>
  </si>
  <si>
    <t>PF</t>
  </si>
  <si>
    <t>Digital</t>
  </si>
  <si>
    <t>n</t>
  </si>
  <si>
    <t>Média</t>
  </si>
  <si>
    <t>Fontes de variação</t>
  </si>
  <si>
    <t>Soma dos quadrados</t>
  </si>
  <si>
    <t>Graus de liberdade</t>
  </si>
  <si>
    <t>Médias</t>
  </si>
  <si>
    <t>F</t>
  </si>
  <si>
    <t>Var. entre os grupos</t>
  </si>
  <si>
    <t>Var. dentro dos grupos</t>
  </si>
  <si>
    <t>Total</t>
  </si>
  <si>
    <t>k</t>
  </si>
  <si>
    <t>F critico 5%</t>
  </si>
  <si>
    <t>F critico 95%</t>
  </si>
  <si>
    <t>Neste caso F menor que F critico</t>
  </si>
  <si>
    <t>não rejeita H0</t>
  </si>
  <si>
    <t>Desvio padrão A</t>
  </si>
  <si>
    <t>Desvio padrão B</t>
  </si>
  <si>
    <t>amostra de A</t>
  </si>
  <si>
    <t>amostra de B</t>
  </si>
  <si>
    <t>nivel de confianca</t>
  </si>
  <si>
    <t>var A/var B</t>
  </si>
  <si>
    <t>Baixa Caloria</t>
  </si>
  <si>
    <t>Baixa Gordura</t>
  </si>
  <si>
    <t>Baixo Carboidrato</t>
  </si>
  <si>
    <t>Grupo de controle</t>
  </si>
  <si>
    <t>Neste caso F maior que F critico</t>
  </si>
  <si>
    <t>rejeita H0</t>
  </si>
  <si>
    <t>Preco</t>
  </si>
  <si>
    <t>Quantidade</t>
  </si>
  <si>
    <t>Correlação</t>
  </si>
  <si>
    <t>r</t>
  </si>
  <si>
    <t>Z1</t>
  </si>
  <si>
    <t>Z2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</si>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</sst>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</font>
    <font>
      <b/>
      <sz val="24"/>
      <color rgb="FFFFFFFF"/>
      <name val="Arial"/>
    </font>
    <font>
      <sz val="24"/>
      <color rgb="FF000000"/>
      <name val="Arial"/>
    </font>
    <font>
      <b/>
      <sz val="14"/>
      <color rgb="FFFFFFFF"/>
      <name val="Arial"/>
    </font>
    <font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164" fontId="6" fillId="0" borderId="2" xfId="1" applyNumberFormat="1" applyFont="1" applyBorder="1" applyAlignment="1">
      <alignment horizontal="center" vertical="center" wrapText="1" readingOrder="1"/>
    </xf>
    <xf numFmtId="164" fontId="2" fillId="0" borderId="3" xfId="1" applyNumberFormat="1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43" fontId="6" fillId="0" borderId="2" xfId="1" applyFont="1" applyBorder="1" applyAlignment="1">
      <alignment horizontal="center" vertical="center" wrapText="1" readingOrder="1"/>
    </xf>
    <xf numFmtId="43" fontId="6" fillId="0" borderId="3" xfId="1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9" fontId="0" fillId="0" borderId="0" xfId="0" applyNumberFormat="1"/>
    <xf numFmtId="43" fontId="6" fillId="0" borderId="0" xfId="0" applyNumberFormat="1" applyFont="1" applyAlignment="1">
      <alignment horizontal="center" vertical="center" wrapText="1" readingOrder="1"/>
    </xf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exemplo_correlacao!$A$2:$A$25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exemplo_correlacao!$B$2:$B$25</c:f>
              <c:numCache>
                <c:formatCode>General</c:formatCode>
                <c:ptCount val="24"/>
                <c:pt idx="0">
                  <c:v>53</c:v>
                </c:pt>
                <c:pt idx="1">
                  <c:v>64</c:v>
                </c:pt>
                <c:pt idx="2">
                  <c:v>25</c:v>
                </c:pt>
                <c:pt idx="3">
                  <c:v>52</c:v>
                </c:pt>
                <c:pt idx="4">
                  <c:v>41</c:v>
                </c:pt>
                <c:pt idx="5">
                  <c:v>20</c:v>
                </c:pt>
                <c:pt idx="6">
                  <c:v>31</c:v>
                </c:pt>
                <c:pt idx="7">
                  <c:v>31</c:v>
                </c:pt>
                <c:pt idx="8">
                  <c:v>26</c:v>
                </c:pt>
                <c:pt idx="9">
                  <c:v>39</c:v>
                </c:pt>
                <c:pt idx="10">
                  <c:v>47</c:v>
                </c:pt>
                <c:pt idx="11">
                  <c:v>22</c:v>
                </c:pt>
                <c:pt idx="12">
                  <c:v>21</c:v>
                </c:pt>
                <c:pt idx="13">
                  <c:v>5</c:v>
                </c:pt>
                <c:pt idx="14">
                  <c:v>29</c:v>
                </c:pt>
                <c:pt idx="15">
                  <c:v>20</c:v>
                </c:pt>
                <c:pt idx="16">
                  <c:v>1</c:v>
                </c:pt>
                <c:pt idx="17">
                  <c:v>1</c:v>
                </c:pt>
                <c:pt idx="18">
                  <c:v>15</c:v>
                </c:pt>
                <c:pt idx="19">
                  <c:v>4</c:v>
                </c:pt>
                <c:pt idx="20">
                  <c:v>27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EB-4711-A9F2-BC48EBBD3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79423"/>
        <c:axId val="331279007"/>
      </c:scatterChart>
      <c:valAx>
        <c:axId val="33127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Preço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1279007"/>
        <c:crosses val="autoZero"/>
        <c:crossBetween val="midCat"/>
      </c:valAx>
      <c:valAx>
        <c:axId val="33127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127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Planilha1!$F$2:$F$30</c:f>
              <c:numCache>
                <c:formatCode>General</c:formatCode>
                <c:ptCount val="29"/>
                <c:pt idx="0">
                  <c:v>0.1405725778535365</c:v>
                </c:pt>
                <c:pt idx="1">
                  <c:v>-1.4645397754047691</c:v>
                </c:pt>
                <c:pt idx="2">
                  <c:v>-0.82745072165969535</c:v>
                </c:pt>
                <c:pt idx="3">
                  <c:v>0.85453455422703617</c:v>
                </c:pt>
                <c:pt idx="4">
                  <c:v>2.1349606437836171</c:v>
                </c:pt>
                <c:pt idx="5">
                  <c:v>-1.823380525463522</c:v>
                </c:pt>
                <c:pt idx="6">
                  <c:v>-2.9488277587904332</c:v>
                </c:pt>
                <c:pt idx="7">
                  <c:v>-0.26807248866038441</c:v>
                </c:pt>
                <c:pt idx="8">
                  <c:v>0.23768918306990366</c:v>
                </c:pt>
                <c:pt idx="9">
                  <c:v>1.2915241608080748</c:v>
                </c:pt>
                <c:pt idx="10">
                  <c:v>-0.55252701388155789</c:v>
                </c:pt>
                <c:pt idx="11">
                  <c:v>1.9645968609367941</c:v>
                </c:pt>
                <c:pt idx="12">
                  <c:v>-0.15530413571642454</c:v>
                </c:pt>
                <c:pt idx="13">
                  <c:v>-0.61280306442996257</c:v>
                </c:pt>
                <c:pt idx="14">
                  <c:v>-0.13924286263141847</c:v>
                </c:pt>
                <c:pt idx="15">
                  <c:v>-0.77694811579597456</c:v>
                </c:pt>
                <c:pt idx="16">
                  <c:v>-0.73448383857558341</c:v>
                </c:pt>
                <c:pt idx="17">
                  <c:v>-1.9962273649689084</c:v>
                </c:pt>
                <c:pt idx="18">
                  <c:v>-2.2448890348089825</c:v>
                </c:pt>
                <c:pt idx="19">
                  <c:v>9.4544965170680395E-2</c:v>
                </c:pt>
                <c:pt idx="20">
                  <c:v>-0.4109095677895942</c:v>
                </c:pt>
                <c:pt idx="21">
                  <c:v>-1.0598820814958925</c:v>
                </c:pt>
                <c:pt idx="22">
                  <c:v>-1.5910752042404834</c:v>
                </c:pt>
                <c:pt idx="23">
                  <c:v>-1.5948375461031055</c:v>
                </c:pt>
                <c:pt idx="24">
                  <c:v>-2.964573940873422</c:v>
                </c:pt>
                <c:pt idx="25">
                  <c:v>0.16143773592544763</c:v>
                </c:pt>
                <c:pt idx="26">
                  <c:v>-0.63157685090825066</c:v>
                </c:pt>
                <c:pt idx="27">
                  <c:v>-3.8331972087129962E-2</c:v>
                </c:pt>
                <c:pt idx="28">
                  <c:v>-1.4436969027511957</c:v>
                </c:pt>
              </c:numCache>
            </c:numRef>
          </c:xVal>
          <c:yVal>
            <c:numRef>
              <c:f>Planilha1!$G$2:$G$30</c:f>
              <c:numCache>
                <c:formatCode>General</c:formatCode>
                <c:ptCount val="29"/>
                <c:pt idx="0">
                  <c:v>-0.28137735482569853</c:v>
                </c:pt>
                <c:pt idx="1">
                  <c:v>0.89177174351313027</c:v>
                </c:pt>
                <c:pt idx="2">
                  <c:v>0.49431003729824718</c:v>
                </c:pt>
                <c:pt idx="3">
                  <c:v>-0.75295346360964144</c:v>
                </c:pt>
                <c:pt idx="4">
                  <c:v>-1.8362474902360619</c:v>
                </c:pt>
                <c:pt idx="5">
                  <c:v>1.000935787206112</c:v>
                </c:pt>
                <c:pt idx="6">
                  <c:v>1.9648174820339148</c:v>
                </c:pt>
                <c:pt idx="7">
                  <c:v>0.11055107577150824</c:v>
                </c:pt>
                <c:pt idx="8">
                  <c:v>-0.27559358183099986</c:v>
                </c:pt>
                <c:pt idx="9">
                  <c:v>-1.2015215413008717</c:v>
                </c:pt>
                <c:pt idx="10">
                  <c:v>0.19462588135143116</c:v>
                </c:pt>
                <c:pt idx="11">
                  <c:v>-1.6984541256671344</c:v>
                </c:pt>
                <c:pt idx="12">
                  <c:v>-0.11374279441421714</c:v>
                </c:pt>
                <c:pt idx="13">
                  <c:v>0.33489616475890316</c:v>
                </c:pt>
                <c:pt idx="14">
                  <c:v>-9.6100956265764252E-3</c:v>
                </c:pt>
                <c:pt idx="15">
                  <c:v>0.31609243059610359</c:v>
                </c:pt>
                <c:pt idx="16">
                  <c:v>0.39265200881969442</c:v>
                </c:pt>
                <c:pt idx="17">
                  <c:v>0.97931342463948112</c:v>
                </c:pt>
                <c:pt idx="18">
                  <c:v>1.5870906617372977</c:v>
                </c:pt>
                <c:pt idx="19">
                  <c:v>-0.20443951996573148</c:v>
                </c:pt>
                <c:pt idx="20">
                  <c:v>3.8001079750105068E-2</c:v>
                </c:pt>
                <c:pt idx="21">
                  <c:v>0.70014641675855638</c:v>
                </c:pt>
                <c:pt idx="22">
                  <c:v>1.1262504003166338</c:v>
                </c:pt>
                <c:pt idx="23">
                  <c:v>1.0173743009681095</c:v>
                </c:pt>
                <c:pt idx="24">
                  <c:v>1.9105723495541926</c:v>
                </c:pt>
                <c:pt idx="25">
                  <c:v>-0.22659914331894701</c:v>
                </c:pt>
                <c:pt idx="26">
                  <c:v>0.12297130477049195</c:v>
                </c:pt>
                <c:pt idx="27">
                  <c:v>-0.21251105726486924</c:v>
                </c:pt>
                <c:pt idx="28">
                  <c:v>0.89803439902985926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80-48DD-A203-FC5199514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808047"/>
        <c:axId val="558807631"/>
      </c:scatterChart>
      <c:valAx>
        <c:axId val="558808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8807631"/>
        <c:crosses val="autoZero"/>
        <c:crossBetween val="midCat"/>
      </c:valAx>
      <c:valAx>
        <c:axId val="5588076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55880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0</xdr:row>
      <xdr:rowOff>161925</xdr:rowOff>
    </xdr:from>
    <xdr:to>
      <xdr:col>7</xdr:col>
      <xdr:colOff>552450</xdr:colOff>
      <xdr:row>6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161925"/>
          <a:ext cx="313372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5</xdr:row>
      <xdr:rowOff>47625</xdr:rowOff>
    </xdr:from>
    <xdr:to>
      <xdr:col>7</xdr:col>
      <xdr:colOff>123825</xdr:colOff>
      <xdr:row>8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1905000"/>
          <a:ext cx="42005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7</xdr:row>
      <xdr:rowOff>104775</xdr:rowOff>
    </xdr:from>
    <xdr:to>
      <xdr:col>4</xdr:col>
      <xdr:colOff>590550</xdr:colOff>
      <xdr:row>11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2305050"/>
          <a:ext cx="280987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8</xdr:row>
      <xdr:rowOff>0</xdr:rowOff>
    </xdr:from>
    <xdr:to>
      <xdr:col>10</xdr:col>
      <xdr:colOff>66675</xdr:colOff>
      <xdr:row>22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2</xdr:row>
      <xdr:rowOff>95250</xdr:rowOff>
    </xdr:from>
    <xdr:to>
      <xdr:col>14</xdr:col>
      <xdr:colOff>121920</xdr:colOff>
      <xdr:row>15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16" sqref="D16"/>
    </sheetView>
  </sheetViews>
  <sheetFormatPr defaultRowHeight="15" x14ac:dyDescent="0.25"/>
  <cols>
    <col min="1" max="1" width="17.28515625" bestFit="1" customWidth="1"/>
    <col min="3" max="3" width="11.85546875" bestFit="1" customWidth="1"/>
    <col min="4" max="4" width="13.42578125" bestFit="1" customWidth="1"/>
  </cols>
  <sheetData>
    <row r="1" spans="1:4" x14ac:dyDescent="0.25">
      <c r="A1" t="s">
        <v>19</v>
      </c>
      <c r="B1">
        <v>1000</v>
      </c>
    </row>
    <row r="2" spans="1:4" x14ac:dyDescent="0.25">
      <c r="A2" t="s">
        <v>20</v>
      </c>
      <c r="B2">
        <v>1600</v>
      </c>
    </row>
    <row r="4" spans="1:4" x14ac:dyDescent="0.25">
      <c r="A4" t="s">
        <v>21</v>
      </c>
      <c r="B4">
        <v>10</v>
      </c>
    </row>
    <row r="5" spans="1:4" x14ac:dyDescent="0.25">
      <c r="A5" t="s">
        <v>22</v>
      </c>
      <c r="B5">
        <v>15</v>
      </c>
    </row>
    <row r="7" spans="1:4" x14ac:dyDescent="0.25">
      <c r="A7" t="s">
        <v>23</v>
      </c>
      <c r="B7" s="19">
        <v>0.95</v>
      </c>
    </row>
    <row r="10" spans="1:4" x14ac:dyDescent="0.25">
      <c r="C10" t="s">
        <v>24</v>
      </c>
      <c r="D10">
        <f>1000/1600</f>
        <v>0.625</v>
      </c>
    </row>
    <row r="11" spans="1:4" x14ac:dyDescent="0.25">
      <c r="C11" t="s">
        <v>15</v>
      </c>
      <c r="D11">
        <f>_xlfn.F.INV(0.05,9,14)</f>
        <v>0.33052686014125215</v>
      </c>
    </row>
    <row r="12" spans="1:4" x14ac:dyDescent="0.25">
      <c r="C12" t="s">
        <v>16</v>
      </c>
      <c r="D12">
        <f>_xlfn.F.INV(0.95,9,14)</f>
        <v>2.6457907352338177</v>
      </c>
    </row>
    <row r="15" spans="1:4" x14ac:dyDescent="0.25">
      <c r="D15" t="s">
        <v>18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H13" sqref="H13"/>
    </sheetView>
  </sheetViews>
  <sheetFormatPr defaultColWidth="22" defaultRowHeight="15" x14ac:dyDescent="0.25"/>
  <cols>
    <col min="1" max="1" width="12.7109375" bestFit="1" customWidth="1"/>
    <col min="2" max="2" width="19.140625" bestFit="1" customWidth="1"/>
    <col min="3" max="3" width="20.85546875" bestFit="1" customWidth="1"/>
    <col min="4" max="5" width="26" bestFit="1" customWidth="1"/>
    <col min="15" max="15" width="12" bestFit="1" customWidth="1"/>
  </cols>
  <sheetData>
    <row r="1" spans="1:11" ht="36" x14ac:dyDescent="0.25">
      <c r="A1" s="7" t="s">
        <v>0</v>
      </c>
      <c r="B1" s="8" t="s">
        <v>25</v>
      </c>
      <c r="C1" s="8" t="s">
        <v>26</v>
      </c>
      <c r="D1" s="8" t="s">
        <v>27</v>
      </c>
      <c r="E1" s="9" t="s">
        <v>28</v>
      </c>
      <c r="G1" s="7" t="s">
        <v>6</v>
      </c>
      <c r="H1" s="8" t="s">
        <v>7</v>
      </c>
      <c r="I1" s="8" t="s">
        <v>8</v>
      </c>
      <c r="J1" s="8" t="s">
        <v>9</v>
      </c>
      <c r="K1" s="9" t="s">
        <v>10</v>
      </c>
    </row>
    <row r="2" spans="1:11" ht="36" x14ac:dyDescent="0.25">
      <c r="A2" s="10" t="s">
        <v>4</v>
      </c>
      <c r="B2" s="11">
        <v>5</v>
      </c>
      <c r="C2" s="11">
        <v>5</v>
      </c>
      <c r="D2" s="11">
        <v>5</v>
      </c>
      <c r="E2" s="12">
        <v>5</v>
      </c>
      <c r="G2" s="10" t="s">
        <v>11</v>
      </c>
      <c r="H2" s="16">
        <v>75.8</v>
      </c>
      <c r="I2" s="13">
        <f>B5-1</f>
        <v>3</v>
      </c>
      <c r="J2" s="16">
        <f>H2/I2</f>
        <v>25.266666666666666</v>
      </c>
      <c r="K2" s="17">
        <f>J2/J3</f>
        <v>8.5288326300984529</v>
      </c>
    </row>
    <row r="3" spans="1:11" ht="36" x14ac:dyDescent="0.25">
      <c r="A3" s="10" t="s">
        <v>5</v>
      </c>
      <c r="B3" s="11">
        <v>6.6</v>
      </c>
      <c r="C3" s="11">
        <v>3</v>
      </c>
      <c r="D3" s="11">
        <v>3.4</v>
      </c>
      <c r="E3" s="12">
        <v>1.2</v>
      </c>
      <c r="G3" s="10" t="s">
        <v>12</v>
      </c>
      <c r="H3" s="16">
        <v>47.4</v>
      </c>
      <c r="I3" s="13">
        <f>B6-B5</f>
        <v>16</v>
      </c>
      <c r="J3" s="16">
        <f>H3/I3</f>
        <v>2.9624999999999999</v>
      </c>
      <c r="K3" s="14"/>
    </row>
    <row r="4" spans="1:11" ht="23.25" x14ac:dyDescent="0.25">
      <c r="G4" s="10" t="s">
        <v>13</v>
      </c>
      <c r="H4" s="16">
        <v>123.2</v>
      </c>
      <c r="I4" s="13">
        <f>B6-1</f>
        <v>19</v>
      </c>
      <c r="J4" s="15"/>
      <c r="K4" s="14"/>
    </row>
    <row r="5" spans="1:11" x14ac:dyDescent="0.25">
      <c r="A5" t="s">
        <v>14</v>
      </c>
      <c r="B5">
        <v>4</v>
      </c>
    </row>
    <row r="6" spans="1:11" x14ac:dyDescent="0.25">
      <c r="A6" t="s">
        <v>4</v>
      </c>
      <c r="B6">
        <f>SUM(B2:E2)</f>
        <v>20</v>
      </c>
    </row>
    <row r="7" spans="1:11" ht="18" x14ac:dyDescent="0.25">
      <c r="I7" s="18" t="s">
        <v>10</v>
      </c>
      <c r="J7" s="20">
        <f>K2</f>
        <v>8.5288326300984529</v>
      </c>
    </row>
    <row r="8" spans="1:11" ht="18" x14ac:dyDescent="0.25">
      <c r="I8" s="18" t="s">
        <v>15</v>
      </c>
      <c r="J8" s="18">
        <f>_xlfn.F.INV(0.05,I2,I3)</f>
        <v>0.11504453134698978</v>
      </c>
    </row>
    <row r="9" spans="1:11" ht="18" x14ac:dyDescent="0.25">
      <c r="I9" s="18" t="s">
        <v>16</v>
      </c>
      <c r="J9" s="18">
        <f>_xlfn.F.INV(0.95,I2,I3)</f>
        <v>3.238871517453584</v>
      </c>
    </row>
    <row r="10" spans="1:11" ht="18" x14ac:dyDescent="0.25">
      <c r="J10" s="18"/>
    </row>
    <row r="11" spans="1:11" x14ac:dyDescent="0.25">
      <c r="I11" t="s">
        <v>29</v>
      </c>
    </row>
    <row r="12" spans="1:11" x14ac:dyDescent="0.25">
      <c r="I12" t="s">
        <v>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F6" sqref="F6:G13"/>
    </sheetView>
  </sheetViews>
  <sheetFormatPr defaultColWidth="29" defaultRowHeight="15" x14ac:dyDescent="0.25"/>
  <cols>
    <col min="1" max="1" width="21.140625" bestFit="1" customWidth="1"/>
    <col min="2" max="2" width="17.5703125" customWidth="1"/>
    <col min="3" max="3" width="9.5703125" bestFit="1" customWidth="1"/>
    <col min="4" max="5" width="16.42578125" bestFit="1" customWidth="1"/>
  </cols>
  <sheetData>
    <row r="1" spans="1:10" ht="36" x14ac:dyDescent="0.25">
      <c r="A1" s="1" t="s">
        <v>0</v>
      </c>
      <c r="B1" s="2" t="s">
        <v>1</v>
      </c>
      <c r="C1" s="2" t="s">
        <v>2</v>
      </c>
      <c r="D1" s="3" t="s">
        <v>3</v>
      </c>
      <c r="F1" s="7" t="s">
        <v>6</v>
      </c>
      <c r="G1" s="8" t="s">
        <v>7</v>
      </c>
      <c r="H1" s="8" t="s">
        <v>8</v>
      </c>
      <c r="I1" s="8" t="s">
        <v>9</v>
      </c>
      <c r="J1" s="9" t="s">
        <v>10</v>
      </c>
    </row>
    <row r="2" spans="1:10" ht="30" x14ac:dyDescent="0.25">
      <c r="A2" s="4" t="s">
        <v>4</v>
      </c>
      <c r="B2" s="5">
        <v>50</v>
      </c>
      <c r="C2" s="5">
        <v>150</v>
      </c>
      <c r="D2" s="6">
        <v>100</v>
      </c>
      <c r="F2" s="10" t="s">
        <v>11</v>
      </c>
      <c r="G2" s="16">
        <v>5.7</v>
      </c>
      <c r="H2" s="13">
        <f>B5-1</f>
        <v>2</v>
      </c>
      <c r="I2" s="16">
        <f>G2/H2</f>
        <v>2.85</v>
      </c>
      <c r="J2" s="17">
        <f>I2/I3</f>
        <v>2.9867678193366269</v>
      </c>
    </row>
    <row r="3" spans="1:10" ht="36" x14ac:dyDescent="0.25">
      <c r="A3" s="4" t="s">
        <v>5</v>
      </c>
      <c r="B3" s="5">
        <v>8</v>
      </c>
      <c r="C3" s="5">
        <v>7.5</v>
      </c>
      <c r="D3" s="6">
        <v>7</v>
      </c>
      <c r="F3" s="10" t="s">
        <v>12</v>
      </c>
      <c r="G3" s="16">
        <v>283.39999999999998</v>
      </c>
      <c r="H3" s="13">
        <f>B6-B5</f>
        <v>297</v>
      </c>
      <c r="I3" s="16">
        <f>G3/H3</f>
        <v>0.95420875420875417</v>
      </c>
      <c r="J3" s="14"/>
    </row>
    <row r="4" spans="1:10" ht="23.25" x14ac:dyDescent="0.25">
      <c r="F4" s="10" t="s">
        <v>13</v>
      </c>
      <c r="G4" s="16">
        <v>390</v>
      </c>
      <c r="H4" s="13">
        <f>B6-1</f>
        <v>299</v>
      </c>
      <c r="I4" s="15"/>
      <c r="J4" s="14"/>
    </row>
    <row r="5" spans="1:10" x14ac:dyDescent="0.25">
      <c r="A5" t="s">
        <v>14</v>
      </c>
      <c r="B5">
        <v>3</v>
      </c>
    </row>
    <row r="6" spans="1:10" ht="18" x14ac:dyDescent="0.25">
      <c r="A6" t="s">
        <v>4</v>
      </c>
      <c r="B6">
        <f>SUM(B2:D2)</f>
        <v>300</v>
      </c>
      <c r="F6" s="18" t="s">
        <v>10</v>
      </c>
      <c r="G6" s="18">
        <f>J2</f>
        <v>2.9867678193366269</v>
      </c>
    </row>
    <row r="7" spans="1:10" ht="18" x14ac:dyDescent="0.25">
      <c r="F7" s="18" t="s">
        <v>15</v>
      </c>
      <c r="G7" s="18">
        <f>_xlfn.F.INV(0.05,H2,H3)</f>
        <v>5.1302154000343693E-2</v>
      </c>
    </row>
    <row r="8" spans="1:10" ht="18" x14ac:dyDescent="0.25">
      <c r="F8" s="18" t="s">
        <v>16</v>
      </c>
      <c r="G8" s="18">
        <f>_xlfn.F.INV(0.95,H2,H3)</f>
        <v>3.0261533685653901</v>
      </c>
    </row>
    <row r="9" spans="1:10" ht="18" x14ac:dyDescent="0.25">
      <c r="G9" s="18"/>
    </row>
    <row r="10" spans="1:10" x14ac:dyDescent="0.25">
      <c r="F10" t="s">
        <v>17</v>
      </c>
    </row>
    <row r="11" spans="1:10" x14ac:dyDescent="0.25">
      <c r="F11" t="s">
        <v>18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zoomScaleNormal="100" workbookViewId="0">
      <selection activeCell="A7" sqref="A7"/>
    </sheetView>
  </sheetViews>
  <sheetFormatPr defaultRowHeight="15" x14ac:dyDescent="0.25"/>
  <cols>
    <col min="1" max="1" width="6" bestFit="1" customWidth="1"/>
    <col min="2" max="2" width="11.42578125" bestFit="1" customWidth="1"/>
  </cols>
  <sheetData>
    <row r="1" spans="1:4" x14ac:dyDescent="0.25">
      <c r="A1" t="s">
        <v>31</v>
      </c>
      <c r="B1" t="s">
        <v>32</v>
      </c>
      <c r="D1" t="s">
        <v>33</v>
      </c>
    </row>
    <row r="2" spans="1:4" x14ac:dyDescent="0.25">
      <c r="A2">
        <v>1</v>
      </c>
      <c r="B2">
        <v>53</v>
      </c>
      <c r="D2" s="21">
        <f>CORREL(A2:A25,B2:B25)</f>
        <v>-0.80084718999948368</v>
      </c>
    </row>
    <row r="3" spans="1:4" x14ac:dyDescent="0.25">
      <c r="A3">
        <v>2</v>
      </c>
      <c r="B3">
        <v>64</v>
      </c>
    </row>
    <row r="4" spans="1:4" x14ac:dyDescent="0.25">
      <c r="A4">
        <v>3</v>
      </c>
      <c r="B4">
        <v>25</v>
      </c>
    </row>
    <row r="5" spans="1:4" x14ac:dyDescent="0.25">
      <c r="A5">
        <v>4</v>
      </c>
      <c r="B5">
        <v>52</v>
      </c>
    </row>
    <row r="6" spans="1:4" x14ac:dyDescent="0.25">
      <c r="A6">
        <v>5</v>
      </c>
      <c r="B6">
        <v>41</v>
      </c>
    </row>
    <row r="7" spans="1:4" x14ac:dyDescent="0.25">
      <c r="A7">
        <v>6</v>
      </c>
      <c r="B7">
        <v>20</v>
      </c>
    </row>
    <row r="8" spans="1:4" x14ac:dyDescent="0.25">
      <c r="A8">
        <v>7</v>
      </c>
      <c r="B8">
        <v>31</v>
      </c>
    </row>
    <row r="9" spans="1:4" x14ac:dyDescent="0.25">
      <c r="A9">
        <v>8</v>
      </c>
      <c r="B9">
        <v>31</v>
      </c>
    </row>
    <row r="10" spans="1:4" x14ac:dyDescent="0.25">
      <c r="A10">
        <v>9</v>
      </c>
      <c r="B10">
        <v>26</v>
      </c>
    </row>
    <row r="11" spans="1:4" x14ac:dyDescent="0.25">
      <c r="A11">
        <v>10</v>
      </c>
      <c r="B11">
        <v>39</v>
      </c>
    </row>
    <row r="12" spans="1:4" x14ac:dyDescent="0.25">
      <c r="A12">
        <v>11</v>
      </c>
      <c r="B12">
        <v>47</v>
      </c>
    </row>
    <row r="13" spans="1:4" x14ac:dyDescent="0.25">
      <c r="A13">
        <v>12</v>
      </c>
      <c r="B13">
        <v>22</v>
      </c>
    </row>
    <row r="14" spans="1:4" x14ac:dyDescent="0.25">
      <c r="A14">
        <v>13</v>
      </c>
      <c r="B14">
        <v>21</v>
      </c>
    </row>
    <row r="15" spans="1:4" x14ac:dyDescent="0.25">
      <c r="A15">
        <v>14</v>
      </c>
      <c r="B15">
        <v>5</v>
      </c>
    </row>
    <row r="16" spans="1:4" x14ac:dyDescent="0.25">
      <c r="A16">
        <v>15</v>
      </c>
      <c r="B16">
        <v>29</v>
      </c>
    </row>
    <row r="17" spans="1:2" x14ac:dyDescent="0.25">
      <c r="A17">
        <v>16</v>
      </c>
      <c r="B17">
        <v>20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15</v>
      </c>
    </row>
    <row r="21" spans="1:2" x14ac:dyDescent="0.25">
      <c r="A21">
        <v>20</v>
      </c>
      <c r="B21">
        <v>4</v>
      </c>
    </row>
    <row r="22" spans="1:2" x14ac:dyDescent="0.25">
      <c r="A22">
        <v>21</v>
      </c>
      <c r="B22">
        <v>27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tabSelected="1" workbookViewId="0">
      <selection activeCell="M30" sqref="M30"/>
    </sheetView>
  </sheetViews>
  <sheetFormatPr defaultRowHeight="15" x14ac:dyDescent="0.25"/>
  <sheetData>
    <row r="1" spans="1:7" x14ac:dyDescent="0.25">
      <c r="A1" t="s">
        <v>34</v>
      </c>
      <c r="C1" t="s">
        <v>35</v>
      </c>
      <c r="D1" t="s">
        <v>36</v>
      </c>
      <c r="F1" t="s">
        <v>37</v>
      </c>
      <c r="G1" t="s">
        <v>38</v>
      </c>
    </row>
    <row r="2" spans="1:7" x14ac:dyDescent="0.25">
      <c r="A2">
        <v>-0.99</v>
      </c>
      <c r="C2">
        <f ca="1">_xlfn.NORM.S.INV(RAND())</f>
        <v>0.37854243049564945</v>
      </c>
      <c r="D2">
        <f ca="1">_xlfn.NORM.S.INV(RAND())</f>
        <v>0.24061304215197807</v>
      </c>
      <c r="F2">
        <f ca="1">AVERAGE($C$2:$C$30)+_xlfn.STDEV.S($C$2:$C$30)*C2</f>
        <v>0.1405725778535365</v>
      </c>
      <c r="G2">
        <f ca="1">AVERAGE($D$2:$D$30)+_xlfn.STDEV.S($D$2:$D$30)*(C2*$A$2+D2*(1-$A$2^2)^0.5)</f>
        <v>-0.28137735482569853</v>
      </c>
    </row>
    <row r="3" spans="1:7" x14ac:dyDescent="0.25">
      <c r="C3">
        <f t="shared" ref="C3:D30" ca="1" si="0">_xlfn.NORM.S.INV(RAND())</f>
        <v>-1.0555453353305191</v>
      </c>
      <c r="D3">
        <f t="shared" ca="1" si="0"/>
        <v>-9.2480816987477302E-2</v>
      </c>
      <c r="F3">
        <f t="shared" ref="F3:F30" ca="1" si="1">AVERAGE($C$2:$C$30)+_xlfn.STDEV.S($C$2:$C$30)*C3</f>
        <v>-1.4645397754047691</v>
      </c>
      <c r="G3">
        <f t="shared" ref="G3:G30" ca="1" si="2">AVERAGE($D$2:$D$30)+_xlfn.STDEV.S($D$2:$D$30)*(C3*$A$2+D3*(1-$A$2^2)^0.5)</f>
        <v>0.89177174351313027</v>
      </c>
    </row>
    <row r="4" spans="1:7" x14ac:dyDescent="0.25">
      <c r="C4">
        <f t="shared" ca="1" si="0"/>
        <v>-0.48633806715210826</v>
      </c>
      <c r="D4">
        <f t="shared" ca="1" si="0"/>
        <v>0.60524348753830659</v>
      </c>
      <c r="F4">
        <f t="shared" ca="1" si="1"/>
        <v>-0.82745072165969535</v>
      </c>
      <c r="G4">
        <f t="shared" ca="1" si="2"/>
        <v>0.49431003729824718</v>
      </c>
    </row>
    <row r="5" spans="1:7" x14ac:dyDescent="0.25">
      <c r="C5">
        <f t="shared" ca="1" si="0"/>
        <v>1.0164318178048115</v>
      </c>
      <c r="D5">
        <f t="shared" ca="1" si="0"/>
        <v>0.80556722016411775</v>
      </c>
      <c r="F5">
        <f t="shared" ca="1" si="1"/>
        <v>0.85453455422703617</v>
      </c>
      <c r="G5">
        <f t="shared" ca="1" si="2"/>
        <v>-0.75295346360964144</v>
      </c>
    </row>
    <row r="6" spans="1:7" x14ac:dyDescent="0.25">
      <c r="C6">
        <f t="shared" ca="1" si="0"/>
        <v>2.1604286142597409</v>
      </c>
      <c r="D6">
        <f t="shared" ca="1" si="0"/>
        <v>-0.15183103964378952</v>
      </c>
      <c r="F6">
        <f t="shared" ca="1" si="1"/>
        <v>2.1349606437836171</v>
      </c>
      <c r="G6">
        <f t="shared" ca="1" si="2"/>
        <v>-1.8362474902360619</v>
      </c>
    </row>
    <row r="7" spans="1:7" x14ac:dyDescent="0.25">
      <c r="C7">
        <f t="shared" ca="1" si="0"/>
        <v>-1.3761516333846773</v>
      </c>
      <c r="D7">
        <f t="shared" ca="1" si="0"/>
        <v>-1.4369600387109516</v>
      </c>
      <c r="F7">
        <f t="shared" ca="1" si="1"/>
        <v>-1.823380525463522</v>
      </c>
      <c r="G7">
        <f t="shared" ca="1" si="2"/>
        <v>1.000935787206112</v>
      </c>
    </row>
    <row r="8" spans="1:7" x14ac:dyDescent="0.25">
      <c r="C8">
        <f t="shared" ca="1" si="0"/>
        <v>-2.3816825578216525</v>
      </c>
      <c r="D8">
        <f t="shared" ca="1" si="0"/>
        <v>-0.49833935277495139</v>
      </c>
      <c r="F8">
        <f t="shared" ca="1" si="1"/>
        <v>-2.9488277587904332</v>
      </c>
      <c r="G8">
        <f t="shared" ca="1" si="2"/>
        <v>1.9648174820339148</v>
      </c>
    </row>
    <row r="9" spans="1:7" x14ac:dyDescent="0.25">
      <c r="C9">
        <f t="shared" ca="1" si="0"/>
        <v>1.343846175276704E-2</v>
      </c>
      <c r="D9">
        <f t="shared" ca="1" si="0"/>
        <v>0.92937186623994938</v>
      </c>
      <c r="F9">
        <f t="shared" ca="1" si="1"/>
        <v>-0.26807248866038441</v>
      </c>
      <c r="G9">
        <f t="shared" ca="1" si="2"/>
        <v>0.11055107577150824</v>
      </c>
    </row>
    <row r="10" spans="1:7" x14ac:dyDescent="0.25">
      <c r="C10">
        <f t="shared" ca="1" si="0"/>
        <v>0.46531126952217783</v>
      </c>
      <c r="D10">
        <f t="shared" ca="1" si="0"/>
        <v>0.89752632025340262</v>
      </c>
      <c r="F10">
        <f t="shared" ca="1" si="1"/>
        <v>0.23768918306990366</v>
      </c>
      <c r="G10">
        <f t="shared" ca="1" si="2"/>
        <v>-0.27559358183099986</v>
      </c>
    </row>
    <row r="11" spans="1:7" x14ac:dyDescent="0.25">
      <c r="C11">
        <f t="shared" ca="1" si="0"/>
        <v>1.4068602182335559</v>
      </c>
      <c r="D11">
        <f t="shared" ca="1" si="0"/>
        <v>-0.17529028285302262</v>
      </c>
      <c r="F11">
        <f t="shared" ca="1" si="1"/>
        <v>1.2915241608080748</v>
      </c>
      <c r="G11">
        <f t="shared" ca="1" si="2"/>
        <v>-1.2015215413008717</v>
      </c>
    </row>
    <row r="12" spans="1:7" x14ac:dyDescent="0.25">
      <c r="C12">
        <f t="shared" ca="1" si="0"/>
        <v>-0.24070745751917128</v>
      </c>
      <c r="D12">
        <f t="shared" ca="1" si="0"/>
        <v>-0.15680770253832796</v>
      </c>
      <c r="F12">
        <f t="shared" ca="1" si="1"/>
        <v>-0.55252701388155789</v>
      </c>
      <c r="G12">
        <f t="shared" ca="1" si="2"/>
        <v>0.19462588135143116</v>
      </c>
    </row>
    <row r="13" spans="1:7" x14ac:dyDescent="0.25">
      <c r="C13">
        <f t="shared" ca="1" si="0"/>
        <v>2.0082170782731521</v>
      </c>
      <c r="D13">
        <f t="shared" ca="1" si="0"/>
        <v>-7.7049556004811282E-2</v>
      </c>
      <c r="F13">
        <f t="shared" ca="1" si="1"/>
        <v>1.9645968609367941</v>
      </c>
      <c r="G13">
        <f t="shared" ca="1" si="2"/>
        <v>-1.6984541256671344</v>
      </c>
    </row>
    <row r="14" spans="1:7" x14ac:dyDescent="0.25">
      <c r="C14">
        <f t="shared" ca="1" si="0"/>
        <v>0.11419135609129513</v>
      </c>
      <c r="D14">
        <f t="shared" ca="1" si="0"/>
        <v>-0.22406069476849758</v>
      </c>
      <c r="F14">
        <f t="shared" ca="1" si="1"/>
        <v>-0.15530413571642454</v>
      </c>
      <c r="G14">
        <f t="shared" ca="1" si="2"/>
        <v>-0.11374279441421714</v>
      </c>
    </row>
    <row r="15" spans="1:7" x14ac:dyDescent="0.25">
      <c r="C15">
        <f t="shared" ca="1" si="0"/>
        <v>-0.29456109990645662</v>
      </c>
      <c r="D15">
        <f t="shared" ca="1" si="0"/>
        <v>0.62878793924968734</v>
      </c>
      <c r="F15">
        <f t="shared" ca="1" si="1"/>
        <v>-0.61280306442996257</v>
      </c>
      <c r="G15">
        <f t="shared" ca="1" si="2"/>
        <v>0.33489616475890316</v>
      </c>
    </row>
    <row r="16" spans="1:7" x14ac:dyDescent="0.25">
      <c r="C16">
        <f t="shared" ca="1" si="0"/>
        <v>0.12854130186801527</v>
      </c>
      <c r="D16">
        <f t="shared" ca="1" si="0"/>
        <v>0.74042271709387886</v>
      </c>
      <c r="F16">
        <f t="shared" ca="1" si="1"/>
        <v>-0.13924286263141847</v>
      </c>
      <c r="G16">
        <f t="shared" ca="1" si="2"/>
        <v>-9.6100956265764252E-3</v>
      </c>
    </row>
    <row r="17" spans="3:7" x14ac:dyDescent="0.25">
      <c r="C17">
        <f t="shared" ca="1" si="0"/>
        <v>-0.44121650973310061</v>
      </c>
      <c r="D17">
        <f t="shared" ca="1" si="0"/>
        <v>-0.55640479583089786</v>
      </c>
      <c r="F17">
        <f t="shared" ca="1" si="1"/>
        <v>-0.77694811579597456</v>
      </c>
      <c r="G17">
        <f t="shared" ca="1" si="2"/>
        <v>0.31609243059610359</v>
      </c>
    </row>
    <row r="18" spans="3:7" x14ac:dyDescent="0.25">
      <c r="C18">
        <f t="shared" ca="1" si="0"/>
        <v>-0.40327679771057795</v>
      </c>
      <c r="D18">
        <f t="shared" ca="1" si="0"/>
        <v>0.34491186549877706</v>
      </c>
      <c r="F18">
        <f t="shared" ca="1" si="1"/>
        <v>-0.73448383857558341</v>
      </c>
      <c r="G18">
        <f t="shared" ca="1" si="2"/>
        <v>0.39265200881969442</v>
      </c>
    </row>
    <row r="19" spans="3:7" x14ac:dyDescent="0.25">
      <c r="C19">
        <f t="shared" ca="1" si="0"/>
        <v>-1.5305816565498556</v>
      </c>
      <c r="D19">
        <f t="shared" ca="1" si="0"/>
        <v>-2.7000948289963507</v>
      </c>
      <c r="F19">
        <f t="shared" ca="1" si="1"/>
        <v>-1.9962273649689084</v>
      </c>
      <c r="G19">
        <f t="shared" ca="1" si="2"/>
        <v>0.97931342463948112</v>
      </c>
    </row>
    <row r="20" spans="3:7" x14ac:dyDescent="0.25">
      <c r="C20">
        <f t="shared" ca="1" si="0"/>
        <v>-1.7527484461977385</v>
      </c>
      <c r="D20">
        <f t="shared" ca="1" si="0"/>
        <v>0.78224348734153581</v>
      </c>
      <c r="F20">
        <f t="shared" ca="1" si="1"/>
        <v>-2.2448890348089825</v>
      </c>
      <c r="G20">
        <f t="shared" ca="1" si="2"/>
        <v>1.5870906617372977</v>
      </c>
    </row>
    <row r="21" spans="3:7" x14ac:dyDescent="0.25">
      <c r="C21">
        <f ca="1">_xlfn.NORM.S.INV(RAND())</f>
        <v>0.33741905610713591</v>
      </c>
      <c r="D21">
        <f ca="1">_xlfn.NORM.S.INV(RAND())</f>
        <v>0.59020860112622386</v>
      </c>
      <c r="F21">
        <f t="shared" ca="1" si="1"/>
        <v>9.4544965170680395E-2</v>
      </c>
      <c r="G21">
        <f t="shared" ca="1" si="2"/>
        <v>-0.20443951996573148</v>
      </c>
    </row>
    <row r="22" spans="3:7" x14ac:dyDescent="0.25">
      <c r="C22">
        <f t="shared" ca="1" si="0"/>
        <v>-0.11417933850260224</v>
      </c>
      <c r="D22">
        <f t="shared" ca="1" si="0"/>
        <v>-0.56803947197873594</v>
      </c>
      <c r="F22">
        <f t="shared" ca="1" si="1"/>
        <v>-0.4109095677895942</v>
      </c>
      <c r="G22">
        <f t="shared" ca="1" si="2"/>
        <v>3.8001079750105068E-2</v>
      </c>
    </row>
    <row r="23" spans="3:7" x14ac:dyDescent="0.25">
      <c r="C23">
        <f t="shared" ca="1" si="0"/>
        <v>-0.69400388497401422</v>
      </c>
      <c r="D23">
        <f t="shared" ca="1" si="0"/>
        <v>0.85526513490183997</v>
      </c>
      <c r="F23">
        <f t="shared" ca="1" si="1"/>
        <v>-1.0598820814958925</v>
      </c>
      <c r="G23">
        <f t="shared" ca="1" si="2"/>
        <v>0.70014641675855638</v>
      </c>
    </row>
    <row r="24" spans="3:7" x14ac:dyDescent="0.25">
      <c r="C24">
        <f t="shared" ca="1" si="0"/>
        <v>-1.1685984247722048</v>
      </c>
      <c r="D24">
        <f t="shared" ca="1" si="0"/>
        <v>1.059112309329969</v>
      </c>
      <c r="F24">
        <f t="shared" ca="1" si="1"/>
        <v>-1.5910752042404834</v>
      </c>
      <c r="G24">
        <f t="shared" ca="1" si="2"/>
        <v>1.1262504003166338</v>
      </c>
    </row>
    <row r="25" spans="3:7" x14ac:dyDescent="0.25">
      <c r="C25">
        <f t="shared" ca="1" si="0"/>
        <v>-1.1719598894230059</v>
      </c>
      <c r="D25">
        <f t="shared" ca="1" si="0"/>
        <v>0.13239890360809026</v>
      </c>
      <c r="F25">
        <f t="shared" ca="1" si="1"/>
        <v>-1.5948375461031055</v>
      </c>
      <c r="G25">
        <f t="shared" ca="1" si="2"/>
        <v>1.0173743009681095</v>
      </c>
    </row>
    <row r="26" spans="3:7" x14ac:dyDescent="0.25">
      <c r="C26">
        <f t="shared" ca="1" si="0"/>
        <v>-2.3957509855163535</v>
      </c>
      <c r="D26">
        <f t="shared" ca="1" si="0"/>
        <v>-1.0470317189646103</v>
      </c>
      <c r="F26">
        <f t="shared" ca="1" si="1"/>
        <v>-2.964573940873422</v>
      </c>
      <c r="G26">
        <f t="shared" ca="1" si="2"/>
        <v>1.9105723495541926</v>
      </c>
    </row>
    <row r="27" spans="3:7" x14ac:dyDescent="0.25">
      <c r="C27">
        <f t="shared" ca="1" si="0"/>
        <v>0.39718440771438784</v>
      </c>
      <c r="D27">
        <f t="shared" ca="1" si="0"/>
        <v>0.82582410026145625</v>
      </c>
      <c r="F27">
        <f t="shared" ca="1" si="1"/>
        <v>0.16143773592544763</v>
      </c>
      <c r="G27">
        <f t="shared" ca="1" si="2"/>
        <v>-0.22659914331894701</v>
      </c>
    </row>
    <row r="28" spans="3:7" x14ac:dyDescent="0.25">
      <c r="C28">
        <f t="shared" ca="1" si="0"/>
        <v>-0.31133454100052882</v>
      </c>
      <c r="D28">
        <f t="shared" ca="1" si="0"/>
        <v>-1.2468350571920594</v>
      </c>
      <c r="F28">
        <f t="shared" ca="1" si="1"/>
        <v>-0.63157685090825066</v>
      </c>
      <c r="G28">
        <f t="shared" ca="1" si="2"/>
        <v>0.12297130477049195</v>
      </c>
    </row>
    <row r="29" spans="3:7" x14ac:dyDescent="0.25">
      <c r="C29">
        <f t="shared" ca="1" si="0"/>
        <v>0.21870014543707925</v>
      </c>
      <c r="D29">
        <f t="shared" ca="1" si="0"/>
        <v>-0.30990476299174197</v>
      </c>
      <c r="F29">
        <f t="shared" ca="1" si="1"/>
        <v>-3.8331972087129962E-2</v>
      </c>
      <c r="G29">
        <f t="shared" ca="1" si="2"/>
        <v>-0.21251105726486924</v>
      </c>
    </row>
    <row r="30" spans="3:7" x14ac:dyDescent="0.25">
      <c r="C30">
        <f t="shared" ca="1" si="0"/>
        <v>-1.0369232690206525</v>
      </c>
      <c r="D30">
        <f t="shared" ca="1" si="0"/>
        <v>9.0155905566002156E-2</v>
      </c>
      <c r="F30">
        <f t="shared" ca="1" si="1"/>
        <v>-1.4436969027511957</v>
      </c>
      <c r="G30">
        <f t="shared" ca="1" si="2"/>
        <v>0.89803439902985926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exemplo_1</vt:lpstr>
      <vt:lpstr>exemplo_2</vt:lpstr>
      <vt:lpstr>exemplo_nps</vt:lpstr>
      <vt:lpstr>exemplo_correlacao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Alcides</dc:creator>
  <cp:lastModifiedBy>Jones Egydio</cp:lastModifiedBy>
  <dcterms:created xsi:type="dcterms:W3CDTF">2019-09-21T19:25:18Z</dcterms:created>
  <dcterms:modified xsi:type="dcterms:W3CDTF">2024-10-21T22:30:29Z</dcterms:modified>
</cp:coreProperties>
</file>