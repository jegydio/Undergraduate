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es\OneDrive\Documents\Engenharia Mauá\2022\EFB105\Módulo M08\Aula M8-02 - Introdução à Integração Numérica-20220923\"/>
    </mc:Choice>
  </mc:AlternateContent>
  <xr:revisionPtr revIDLastSave="9" documentId="8_{6470BBF3-4B93-4686-AD01-43CA931A65C0}" xr6:coauthVersionLast="36" xr6:coauthVersionMax="36" xr10:uidLastSave="{1BBD6390-3551-463E-90FF-CAD2B9F71CF4}"/>
  <bookViews>
    <workbookView xWindow="945" yWindow="0" windowWidth="20865" windowHeight="8430" xr2:uid="{56D473C7-19AD-49FA-8332-F5027D1F2B2F}"/>
  </bookViews>
  <sheets>
    <sheet name="Riemann" sheetId="1" r:id="rId1"/>
    <sheet name="Trapézios" sheetId="2" r:id="rId2"/>
    <sheet name="Ex0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17" i="3" l="1"/>
  <c r="R27" i="3"/>
  <c r="D11" i="3" s="1"/>
  <c r="E27" i="3"/>
  <c r="X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Q27" i="3"/>
  <c r="O26" i="3"/>
  <c r="O25" i="3"/>
  <c r="O24" i="3"/>
  <c r="O23" i="3"/>
  <c r="O22" i="3"/>
  <c r="O21" i="3"/>
  <c r="O20" i="3"/>
  <c r="O19" i="3"/>
  <c r="O18" i="3"/>
  <c r="O17" i="3"/>
  <c r="O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6" i="3"/>
  <c r="C21" i="3"/>
  <c r="C17" i="3"/>
  <c r="C18" i="3"/>
  <c r="C19" i="3"/>
  <c r="C20" i="3"/>
  <c r="C22" i="3"/>
  <c r="C23" i="3"/>
  <c r="C24" i="3"/>
  <c r="C25" i="3"/>
  <c r="C26" i="3"/>
  <c r="D16" i="3"/>
  <c r="C16" i="3"/>
  <c r="B16" i="3"/>
  <c r="U112" i="3"/>
  <c r="X112" i="3" s="1"/>
  <c r="U106" i="3"/>
  <c r="X106" i="3" s="1"/>
  <c r="U101" i="3"/>
  <c r="X101" i="3" s="1"/>
  <c r="U100" i="3"/>
  <c r="X100" i="3" s="1"/>
  <c r="U94" i="3"/>
  <c r="U89" i="3"/>
  <c r="X89" i="3" s="1"/>
  <c r="U83" i="3"/>
  <c r="X83" i="3" s="1"/>
  <c r="U78" i="3"/>
  <c r="U77" i="3"/>
  <c r="X77" i="3" s="1"/>
  <c r="U72" i="3"/>
  <c r="X72" i="3" s="1"/>
  <c r="U71" i="3"/>
  <c r="X71" i="3" s="1"/>
  <c r="U66" i="3"/>
  <c r="X66" i="3" s="1"/>
  <c r="U65" i="3"/>
  <c r="X65" i="3" s="1"/>
  <c r="U60" i="3"/>
  <c r="X60" i="3" s="1"/>
  <c r="U59" i="3"/>
  <c r="X59" i="3" s="1"/>
  <c r="U55" i="3"/>
  <c r="X55" i="3" s="1"/>
  <c r="U54" i="3"/>
  <c r="U53" i="3"/>
  <c r="X53" i="3" s="1"/>
  <c r="U49" i="3"/>
  <c r="X49" i="3" s="1"/>
  <c r="U48" i="3"/>
  <c r="X48" i="3" s="1"/>
  <c r="U43" i="3"/>
  <c r="X43" i="3" s="1"/>
  <c r="U42" i="3"/>
  <c r="X42" i="3" s="1"/>
  <c r="U37" i="3"/>
  <c r="X37" i="3" s="1"/>
  <c r="U36" i="3"/>
  <c r="X36" i="3" s="1"/>
  <c r="U32" i="3"/>
  <c r="X32" i="3" s="1"/>
  <c r="U31" i="3"/>
  <c r="X31" i="3" s="1"/>
  <c r="U30" i="3"/>
  <c r="U26" i="3"/>
  <c r="X26" i="3" s="1"/>
  <c r="U25" i="3"/>
  <c r="X25" i="3" s="1"/>
  <c r="U20" i="3"/>
  <c r="X20" i="3" s="1"/>
  <c r="U19" i="3"/>
  <c r="X19" i="3" s="1"/>
  <c r="N25" i="3"/>
  <c r="Q25" i="3" s="1"/>
  <c r="N24" i="3"/>
  <c r="Q24" i="3" s="1"/>
  <c r="N23" i="3"/>
  <c r="Q23" i="3" s="1"/>
  <c r="N18" i="3"/>
  <c r="Q18" i="3" s="1"/>
  <c r="N17" i="3"/>
  <c r="Q17" i="3" s="1"/>
  <c r="N16" i="3"/>
  <c r="Q16" i="3" s="1"/>
  <c r="C8" i="3"/>
  <c r="H109" i="3" s="1"/>
  <c r="B8" i="3"/>
  <c r="B23" i="3" s="1"/>
  <c r="X30" i="3" l="1"/>
  <c r="X54" i="3"/>
  <c r="X78" i="3"/>
  <c r="X94" i="3"/>
  <c r="J109" i="3"/>
  <c r="D23" i="3"/>
  <c r="U95" i="3"/>
  <c r="X95" i="3" s="1"/>
  <c r="U90" i="3"/>
  <c r="X90" i="3" s="1"/>
  <c r="U96" i="3"/>
  <c r="X96" i="3" s="1"/>
  <c r="U107" i="3"/>
  <c r="X107" i="3" s="1"/>
  <c r="U113" i="3"/>
  <c r="X113" i="3" s="1"/>
  <c r="N19" i="3"/>
  <c r="Q19" i="3" s="1"/>
  <c r="N26" i="3"/>
  <c r="Q26" i="3" s="1"/>
  <c r="U38" i="3"/>
  <c r="X38" i="3" s="1"/>
  <c r="U44" i="3"/>
  <c r="X44" i="3" s="1"/>
  <c r="U50" i="3"/>
  <c r="X50" i="3" s="1"/>
  <c r="U56" i="3"/>
  <c r="X56" i="3" s="1"/>
  <c r="U61" i="3"/>
  <c r="X61" i="3" s="1"/>
  <c r="U67" i="3"/>
  <c r="X67" i="3" s="1"/>
  <c r="U73" i="3"/>
  <c r="X73" i="3" s="1"/>
  <c r="U79" i="3"/>
  <c r="X79" i="3" s="1"/>
  <c r="U102" i="3"/>
  <c r="X102" i="3" s="1"/>
  <c r="U108" i="3"/>
  <c r="X108" i="3" s="1"/>
  <c r="U114" i="3"/>
  <c r="X114" i="3" s="1"/>
  <c r="U16" i="3"/>
  <c r="X16" i="3" s="1"/>
  <c r="U21" i="3"/>
  <c r="X21" i="3" s="1"/>
  <c r="U27" i="3"/>
  <c r="X27" i="3" s="1"/>
  <c r="U33" i="3"/>
  <c r="X33" i="3" s="1"/>
  <c r="U39" i="3"/>
  <c r="X39" i="3" s="1"/>
  <c r="U62" i="3"/>
  <c r="X62" i="3" s="1"/>
  <c r="U68" i="3"/>
  <c r="X68" i="3" s="1"/>
  <c r="U74" i="3"/>
  <c r="X74" i="3" s="1"/>
  <c r="U80" i="3"/>
  <c r="X80" i="3" s="1"/>
  <c r="U85" i="3"/>
  <c r="X85" i="3" s="1"/>
  <c r="U91" i="3"/>
  <c r="X91" i="3" s="1"/>
  <c r="U97" i="3"/>
  <c r="X97" i="3" s="1"/>
  <c r="U103" i="3"/>
  <c r="X103" i="3" s="1"/>
  <c r="N21" i="3"/>
  <c r="Q21" i="3" s="1"/>
  <c r="U22" i="3"/>
  <c r="X22" i="3" s="1"/>
  <c r="U28" i="3"/>
  <c r="X28" i="3" s="1"/>
  <c r="U34" i="3"/>
  <c r="X34" i="3" s="1"/>
  <c r="U40" i="3"/>
  <c r="X40" i="3" s="1"/>
  <c r="U45" i="3"/>
  <c r="X45" i="3" s="1"/>
  <c r="U51" i="3"/>
  <c r="X51" i="3" s="1"/>
  <c r="U57" i="3"/>
  <c r="X57" i="3" s="1"/>
  <c r="U63" i="3"/>
  <c r="X63" i="3" s="1"/>
  <c r="U86" i="3"/>
  <c r="X86" i="3" s="1"/>
  <c r="U92" i="3"/>
  <c r="X92" i="3" s="1"/>
  <c r="U98" i="3"/>
  <c r="X98" i="3" s="1"/>
  <c r="U104" i="3"/>
  <c r="X104" i="3" s="1"/>
  <c r="U109" i="3"/>
  <c r="X109" i="3" s="1"/>
  <c r="U115" i="3"/>
  <c r="X115" i="3" s="1"/>
  <c r="N22" i="3"/>
  <c r="Q22" i="3" s="1"/>
  <c r="U17" i="3"/>
  <c r="X17" i="3" s="1"/>
  <c r="U23" i="3"/>
  <c r="X23" i="3" s="1"/>
  <c r="U46" i="3"/>
  <c r="X46" i="3" s="1"/>
  <c r="U52" i="3"/>
  <c r="X52" i="3" s="1"/>
  <c r="U58" i="3"/>
  <c r="X58" i="3" s="1"/>
  <c r="U64" i="3"/>
  <c r="X64" i="3" s="1"/>
  <c r="U69" i="3"/>
  <c r="X69" i="3" s="1"/>
  <c r="U75" i="3"/>
  <c r="X75" i="3" s="1"/>
  <c r="U81" i="3"/>
  <c r="X81" i="3" s="1"/>
  <c r="U87" i="3"/>
  <c r="X87" i="3" s="1"/>
  <c r="U110" i="3"/>
  <c r="X110" i="3" s="1"/>
  <c r="U116" i="3"/>
  <c r="X116" i="3" s="1"/>
  <c r="U84" i="3"/>
  <c r="X84" i="3" s="1"/>
  <c r="N20" i="3"/>
  <c r="Q20" i="3" s="1"/>
  <c r="B26" i="3"/>
  <c r="D26" i="3" s="1"/>
  <c r="U18" i="3"/>
  <c r="X18" i="3" s="1"/>
  <c r="U24" i="3"/>
  <c r="X24" i="3" s="1"/>
  <c r="U29" i="3"/>
  <c r="X29" i="3" s="1"/>
  <c r="U35" i="3"/>
  <c r="X35" i="3" s="1"/>
  <c r="U41" i="3"/>
  <c r="X41" i="3" s="1"/>
  <c r="U47" i="3"/>
  <c r="X47" i="3" s="1"/>
  <c r="U70" i="3"/>
  <c r="X70" i="3" s="1"/>
  <c r="U76" i="3"/>
  <c r="X76" i="3" s="1"/>
  <c r="U82" i="3"/>
  <c r="X82" i="3" s="1"/>
  <c r="U88" i="3"/>
  <c r="X88" i="3" s="1"/>
  <c r="U93" i="3"/>
  <c r="X93" i="3" s="1"/>
  <c r="U99" i="3"/>
  <c r="X99" i="3" s="1"/>
  <c r="U105" i="3"/>
  <c r="X105" i="3" s="1"/>
  <c r="U111" i="3"/>
  <c r="X111" i="3" s="1"/>
  <c r="H66" i="3"/>
  <c r="J66" i="3" s="1"/>
  <c r="H82" i="3"/>
  <c r="J82" i="3" s="1"/>
  <c r="H99" i="3"/>
  <c r="J99" i="3" s="1"/>
  <c r="H23" i="3"/>
  <c r="J23" i="3" s="1"/>
  <c r="H24" i="3"/>
  <c r="J24" i="3" s="1"/>
  <c r="H67" i="3"/>
  <c r="J67" i="3" s="1"/>
  <c r="H102" i="3"/>
  <c r="J102" i="3" s="1"/>
  <c r="B18" i="3"/>
  <c r="D18" i="3" s="1"/>
  <c r="H25" i="3"/>
  <c r="J25" i="3" s="1"/>
  <c r="H40" i="3"/>
  <c r="J40" i="3" s="1"/>
  <c r="H54" i="3"/>
  <c r="J54" i="3" s="1"/>
  <c r="H70" i="3"/>
  <c r="J70" i="3" s="1"/>
  <c r="H83" i="3"/>
  <c r="J83" i="3" s="1"/>
  <c r="H104" i="3"/>
  <c r="J104" i="3" s="1"/>
  <c r="H35" i="3"/>
  <c r="J35" i="3" s="1"/>
  <c r="H18" i="3"/>
  <c r="J18" i="3" s="1"/>
  <c r="H56" i="3"/>
  <c r="J56" i="3" s="1"/>
  <c r="H86" i="3"/>
  <c r="J86" i="3" s="1"/>
  <c r="H107" i="3"/>
  <c r="J107" i="3" s="1"/>
  <c r="H38" i="3"/>
  <c r="J38" i="3" s="1"/>
  <c r="H42" i="3"/>
  <c r="J42" i="3" s="1"/>
  <c r="H72" i="3"/>
  <c r="J72" i="3" s="1"/>
  <c r="H19" i="3"/>
  <c r="J19" i="3" s="1"/>
  <c r="H27" i="3"/>
  <c r="J27" i="3" s="1"/>
  <c r="H43" i="3"/>
  <c r="J43" i="3" s="1"/>
  <c r="H58" i="3"/>
  <c r="J58" i="3" s="1"/>
  <c r="H74" i="3"/>
  <c r="J74" i="3" s="1"/>
  <c r="H88" i="3"/>
  <c r="J88" i="3" s="1"/>
  <c r="H110" i="3"/>
  <c r="J110" i="3" s="1"/>
  <c r="B20" i="3"/>
  <c r="D20" i="3" s="1"/>
  <c r="H30" i="3"/>
  <c r="J30" i="3" s="1"/>
  <c r="H46" i="3"/>
  <c r="J46" i="3" s="1"/>
  <c r="H59" i="3"/>
  <c r="J59" i="3" s="1"/>
  <c r="H75" i="3"/>
  <c r="J75" i="3" s="1"/>
  <c r="H91" i="3"/>
  <c r="J91" i="3" s="1"/>
  <c r="H112" i="3"/>
  <c r="J112" i="3" s="1"/>
  <c r="H17" i="3"/>
  <c r="J17" i="3" s="1"/>
  <c r="H51" i="3"/>
  <c r="J51" i="3" s="1"/>
  <c r="B21" i="3"/>
  <c r="D21" i="3" s="1"/>
  <c r="H32" i="3"/>
  <c r="J32" i="3" s="1"/>
  <c r="H48" i="3"/>
  <c r="J48" i="3" s="1"/>
  <c r="H62" i="3"/>
  <c r="J62" i="3" s="1"/>
  <c r="H78" i="3"/>
  <c r="J78" i="3" s="1"/>
  <c r="H94" i="3"/>
  <c r="J94" i="3" s="1"/>
  <c r="H115" i="3"/>
  <c r="J115" i="3" s="1"/>
  <c r="B22" i="3"/>
  <c r="D22" i="3" s="1"/>
  <c r="H34" i="3"/>
  <c r="J34" i="3" s="1"/>
  <c r="H50" i="3"/>
  <c r="J50" i="3" s="1"/>
  <c r="H64" i="3"/>
  <c r="J64" i="3" s="1"/>
  <c r="H80" i="3"/>
  <c r="J80" i="3" s="1"/>
  <c r="H96" i="3"/>
  <c r="J96" i="3" s="1"/>
  <c r="H20" i="3"/>
  <c r="J20" i="3" s="1"/>
  <c r="B25" i="3"/>
  <c r="D25" i="3" s="1"/>
  <c r="H33" i="3"/>
  <c r="J33" i="3" s="1"/>
  <c r="H41" i="3"/>
  <c r="J41" i="3" s="1"/>
  <c r="H49" i="3"/>
  <c r="J49" i="3" s="1"/>
  <c r="H57" i="3"/>
  <c r="J57" i="3" s="1"/>
  <c r="H65" i="3"/>
  <c r="J65" i="3" s="1"/>
  <c r="H73" i="3"/>
  <c r="J73" i="3" s="1"/>
  <c r="H81" i="3"/>
  <c r="J81" i="3" s="1"/>
  <c r="H89" i="3"/>
  <c r="J89" i="3" s="1"/>
  <c r="H97" i="3"/>
  <c r="J97" i="3" s="1"/>
  <c r="H105" i="3"/>
  <c r="J105" i="3" s="1"/>
  <c r="H113" i="3"/>
  <c r="J113" i="3" s="1"/>
  <c r="H21" i="3"/>
  <c r="J21" i="3" s="1"/>
  <c r="H22" i="3"/>
  <c r="J22" i="3" s="1"/>
  <c r="H26" i="3"/>
  <c r="J26" i="3" s="1"/>
  <c r="H28" i="3"/>
  <c r="J28" i="3" s="1"/>
  <c r="H36" i="3"/>
  <c r="J36" i="3" s="1"/>
  <c r="H44" i="3"/>
  <c r="J44" i="3" s="1"/>
  <c r="H52" i="3"/>
  <c r="J52" i="3" s="1"/>
  <c r="H60" i="3"/>
  <c r="J60" i="3" s="1"/>
  <c r="H68" i="3"/>
  <c r="J68" i="3" s="1"/>
  <c r="H76" i="3"/>
  <c r="J76" i="3" s="1"/>
  <c r="H84" i="3"/>
  <c r="J84" i="3" s="1"/>
  <c r="H92" i="3"/>
  <c r="J92" i="3" s="1"/>
  <c r="H100" i="3"/>
  <c r="J100" i="3" s="1"/>
  <c r="H108" i="3"/>
  <c r="J108" i="3" s="1"/>
  <c r="H116" i="3"/>
  <c r="J116" i="3" s="1"/>
  <c r="B17" i="3"/>
  <c r="D17" i="3" s="1"/>
  <c r="B24" i="3"/>
  <c r="D24" i="3" s="1"/>
  <c r="H31" i="3"/>
  <c r="J31" i="3" s="1"/>
  <c r="H39" i="3"/>
  <c r="J39" i="3" s="1"/>
  <c r="H47" i="3"/>
  <c r="J47" i="3" s="1"/>
  <c r="H55" i="3"/>
  <c r="J55" i="3" s="1"/>
  <c r="H63" i="3"/>
  <c r="J63" i="3" s="1"/>
  <c r="H71" i="3"/>
  <c r="J71" i="3" s="1"/>
  <c r="H79" i="3"/>
  <c r="J79" i="3" s="1"/>
  <c r="H87" i="3"/>
  <c r="J87" i="3" s="1"/>
  <c r="H95" i="3"/>
  <c r="J95" i="3" s="1"/>
  <c r="H103" i="3"/>
  <c r="J103" i="3" s="1"/>
  <c r="H111" i="3"/>
  <c r="J111" i="3" s="1"/>
  <c r="H90" i="3"/>
  <c r="J90" i="3" s="1"/>
  <c r="H98" i="3"/>
  <c r="J98" i="3" s="1"/>
  <c r="H106" i="3"/>
  <c r="J106" i="3" s="1"/>
  <c r="H114" i="3"/>
  <c r="J114" i="3" s="1"/>
  <c r="H16" i="3"/>
  <c r="J16" i="3" s="1"/>
  <c r="B19" i="3"/>
  <c r="D19" i="3" s="1"/>
  <c r="H29" i="3"/>
  <c r="J29" i="3" s="1"/>
  <c r="H37" i="3"/>
  <c r="J37" i="3" s="1"/>
  <c r="H45" i="3"/>
  <c r="J45" i="3" s="1"/>
  <c r="H53" i="3"/>
  <c r="J53" i="3" s="1"/>
  <c r="H61" i="3"/>
  <c r="J61" i="3" s="1"/>
  <c r="H69" i="3"/>
  <c r="J69" i="3" s="1"/>
  <c r="H77" i="3"/>
  <c r="J77" i="3" s="1"/>
  <c r="H85" i="3"/>
  <c r="J85" i="3" s="1"/>
  <c r="H93" i="3"/>
  <c r="J93" i="3" s="1"/>
  <c r="H101" i="3"/>
  <c r="J101" i="3" s="1"/>
  <c r="D10" i="2"/>
  <c r="C10" i="2"/>
  <c r="B10" i="2"/>
  <c r="D10" i="1"/>
  <c r="C10" i="1"/>
  <c r="B10" i="1"/>
  <c r="E11" i="3" l="1"/>
  <c r="D27" i="3"/>
  <c r="B11" i="3" s="1"/>
  <c r="J117" i="3"/>
  <c r="K117" i="3" s="1"/>
  <c r="C11" i="3" s="1"/>
  <c r="D8" i="2"/>
  <c r="P108" i="2" s="1"/>
  <c r="Q108" i="2" s="1"/>
  <c r="S108" i="2" s="1"/>
  <c r="C8" i="2"/>
  <c r="I17" i="2" s="1"/>
  <c r="J17" i="2" s="1"/>
  <c r="L17" i="2" s="1"/>
  <c r="B8" i="2"/>
  <c r="B19" i="2" s="1"/>
  <c r="C19" i="2" s="1"/>
  <c r="E19" i="2" s="1"/>
  <c r="G4" i="2"/>
  <c r="Q115" i="1"/>
  <c r="K25" i="1"/>
  <c r="E20" i="1"/>
  <c r="F4" i="1"/>
  <c r="B8" i="1"/>
  <c r="B14" i="1"/>
  <c r="C18" i="1"/>
  <c r="C17" i="1"/>
  <c r="C16" i="1"/>
  <c r="C15" i="1"/>
  <c r="C14" i="1"/>
  <c r="D18" i="1"/>
  <c r="D17" i="1"/>
  <c r="D16" i="1"/>
  <c r="D15" i="1"/>
  <c r="C19" i="1"/>
  <c r="D19" i="1" s="1"/>
  <c r="D20" i="1" s="1"/>
  <c r="B15" i="1"/>
  <c r="B16" i="1"/>
  <c r="B17" i="1"/>
  <c r="B18" i="1"/>
  <c r="B19" i="1"/>
  <c r="C8" i="1"/>
  <c r="H22" i="1" s="1"/>
  <c r="I22" i="1" s="1"/>
  <c r="J22" i="1" s="1"/>
  <c r="D8" i="1"/>
  <c r="N25" i="1" s="1"/>
  <c r="O25" i="1" s="1"/>
  <c r="P25" i="1" s="1"/>
  <c r="B18" i="2" l="1"/>
  <c r="C18" i="2" s="1"/>
  <c r="E18" i="2" s="1"/>
  <c r="B15" i="2"/>
  <c r="C15" i="2" s="1"/>
  <c r="E15" i="2" s="1"/>
  <c r="B16" i="2"/>
  <c r="C16" i="2" s="1"/>
  <c r="E16" i="2" s="1"/>
  <c r="P36" i="2"/>
  <c r="Q36" i="2" s="1"/>
  <c r="S36" i="2" s="1"/>
  <c r="P15" i="2"/>
  <c r="Q15" i="2" s="1"/>
  <c r="S15" i="2" s="1"/>
  <c r="P39" i="2"/>
  <c r="Q39" i="2" s="1"/>
  <c r="S39" i="2" s="1"/>
  <c r="P60" i="2"/>
  <c r="Q60" i="2" s="1"/>
  <c r="S60" i="2" s="1"/>
  <c r="P44" i="2"/>
  <c r="Q44" i="2" s="1"/>
  <c r="S44" i="2" s="1"/>
  <c r="P76" i="2"/>
  <c r="Q76" i="2" s="1"/>
  <c r="S76" i="2" s="1"/>
  <c r="P92" i="2"/>
  <c r="Q92" i="2" s="1"/>
  <c r="S92" i="2" s="1"/>
  <c r="P112" i="2"/>
  <c r="Q112" i="2" s="1"/>
  <c r="S112" i="2" s="1"/>
  <c r="P104" i="2"/>
  <c r="Q104" i="2" s="1"/>
  <c r="S104" i="2" s="1"/>
  <c r="P96" i="2"/>
  <c r="Q96" i="2" s="1"/>
  <c r="S96" i="2" s="1"/>
  <c r="P88" i="2"/>
  <c r="Q88" i="2" s="1"/>
  <c r="S88" i="2" s="1"/>
  <c r="P80" i="2"/>
  <c r="Q80" i="2" s="1"/>
  <c r="S80" i="2" s="1"/>
  <c r="P72" i="2"/>
  <c r="Q72" i="2" s="1"/>
  <c r="S72" i="2" s="1"/>
  <c r="P64" i="2"/>
  <c r="Q64" i="2" s="1"/>
  <c r="S64" i="2" s="1"/>
  <c r="P56" i="2"/>
  <c r="Q56" i="2" s="1"/>
  <c r="S56" i="2" s="1"/>
  <c r="P48" i="2"/>
  <c r="Q48" i="2" s="1"/>
  <c r="S48" i="2" s="1"/>
  <c r="P40" i="2"/>
  <c r="Q40" i="2" s="1"/>
  <c r="S40" i="2" s="1"/>
  <c r="P32" i="2"/>
  <c r="Q32" i="2" s="1"/>
  <c r="S32" i="2" s="1"/>
  <c r="P23" i="2"/>
  <c r="Q23" i="2" s="1"/>
  <c r="S23" i="2" s="1"/>
  <c r="P109" i="2"/>
  <c r="Q109" i="2" s="1"/>
  <c r="S109" i="2" s="1"/>
  <c r="P101" i="2"/>
  <c r="Q101" i="2" s="1"/>
  <c r="S101" i="2" s="1"/>
  <c r="P93" i="2"/>
  <c r="Q93" i="2" s="1"/>
  <c r="S93" i="2" s="1"/>
  <c r="P85" i="2"/>
  <c r="Q85" i="2" s="1"/>
  <c r="S85" i="2" s="1"/>
  <c r="P77" i="2"/>
  <c r="Q77" i="2" s="1"/>
  <c r="S77" i="2" s="1"/>
  <c r="P69" i="2"/>
  <c r="Q69" i="2" s="1"/>
  <c r="S69" i="2" s="1"/>
  <c r="P61" i="2"/>
  <c r="Q61" i="2" s="1"/>
  <c r="S61" i="2" s="1"/>
  <c r="P53" i="2"/>
  <c r="Q53" i="2" s="1"/>
  <c r="S53" i="2" s="1"/>
  <c r="P45" i="2"/>
  <c r="Q45" i="2" s="1"/>
  <c r="S45" i="2" s="1"/>
  <c r="P37" i="2"/>
  <c r="Q37" i="2" s="1"/>
  <c r="S37" i="2" s="1"/>
  <c r="P29" i="2"/>
  <c r="Q29" i="2" s="1"/>
  <c r="S29" i="2" s="1"/>
  <c r="P114" i="2"/>
  <c r="Q114" i="2" s="1"/>
  <c r="S114" i="2" s="1"/>
  <c r="P106" i="2"/>
  <c r="Q106" i="2" s="1"/>
  <c r="S106" i="2" s="1"/>
  <c r="P98" i="2"/>
  <c r="Q98" i="2" s="1"/>
  <c r="S98" i="2" s="1"/>
  <c r="P90" i="2"/>
  <c r="Q90" i="2" s="1"/>
  <c r="S90" i="2" s="1"/>
  <c r="P82" i="2"/>
  <c r="Q82" i="2" s="1"/>
  <c r="S82" i="2" s="1"/>
  <c r="P74" i="2"/>
  <c r="Q74" i="2" s="1"/>
  <c r="S74" i="2" s="1"/>
  <c r="P66" i="2"/>
  <c r="Q66" i="2" s="1"/>
  <c r="S66" i="2" s="1"/>
  <c r="P58" i="2"/>
  <c r="Q58" i="2" s="1"/>
  <c r="S58" i="2" s="1"/>
  <c r="P50" i="2"/>
  <c r="Q50" i="2" s="1"/>
  <c r="S50" i="2" s="1"/>
  <c r="P42" i="2"/>
  <c r="Q42" i="2" s="1"/>
  <c r="S42" i="2" s="1"/>
  <c r="P34" i="2"/>
  <c r="Q34" i="2" s="1"/>
  <c r="S34" i="2" s="1"/>
  <c r="P26" i="2"/>
  <c r="Q26" i="2" s="1"/>
  <c r="S26" i="2" s="1"/>
  <c r="P24" i="2"/>
  <c r="Q24" i="2" s="1"/>
  <c r="S24" i="2" s="1"/>
  <c r="P20" i="2"/>
  <c r="Q20" i="2" s="1"/>
  <c r="S20" i="2" s="1"/>
  <c r="P19" i="2"/>
  <c r="Q19" i="2" s="1"/>
  <c r="S19" i="2" s="1"/>
  <c r="P111" i="2"/>
  <c r="Q111" i="2" s="1"/>
  <c r="S111" i="2" s="1"/>
  <c r="P103" i="2"/>
  <c r="Q103" i="2" s="1"/>
  <c r="S103" i="2" s="1"/>
  <c r="P95" i="2"/>
  <c r="Q95" i="2" s="1"/>
  <c r="S95" i="2" s="1"/>
  <c r="P87" i="2"/>
  <c r="Q87" i="2" s="1"/>
  <c r="S87" i="2" s="1"/>
  <c r="P79" i="2"/>
  <c r="Q79" i="2" s="1"/>
  <c r="S79" i="2" s="1"/>
  <c r="P71" i="2"/>
  <c r="Q71" i="2" s="1"/>
  <c r="S71" i="2" s="1"/>
  <c r="P63" i="2"/>
  <c r="Q63" i="2" s="1"/>
  <c r="S63" i="2" s="1"/>
  <c r="P55" i="2"/>
  <c r="Q55" i="2" s="1"/>
  <c r="S55" i="2" s="1"/>
  <c r="P47" i="2"/>
  <c r="Q47" i="2" s="1"/>
  <c r="S47" i="2" s="1"/>
  <c r="P113" i="2"/>
  <c r="Q113" i="2" s="1"/>
  <c r="S113" i="2" s="1"/>
  <c r="P105" i="2"/>
  <c r="Q105" i="2" s="1"/>
  <c r="S105" i="2" s="1"/>
  <c r="P97" i="2"/>
  <c r="Q97" i="2" s="1"/>
  <c r="S97" i="2" s="1"/>
  <c r="P89" i="2"/>
  <c r="Q89" i="2" s="1"/>
  <c r="S89" i="2" s="1"/>
  <c r="P81" i="2"/>
  <c r="Q81" i="2" s="1"/>
  <c r="S81" i="2" s="1"/>
  <c r="P73" i="2"/>
  <c r="Q73" i="2" s="1"/>
  <c r="S73" i="2" s="1"/>
  <c r="P65" i="2"/>
  <c r="Q65" i="2" s="1"/>
  <c r="S65" i="2" s="1"/>
  <c r="P57" i="2"/>
  <c r="Q57" i="2" s="1"/>
  <c r="S57" i="2" s="1"/>
  <c r="P49" i="2"/>
  <c r="Q49" i="2" s="1"/>
  <c r="S49" i="2" s="1"/>
  <c r="P41" i="2"/>
  <c r="Q41" i="2" s="1"/>
  <c r="S41" i="2" s="1"/>
  <c r="P33" i="2"/>
  <c r="Q33" i="2" s="1"/>
  <c r="S33" i="2" s="1"/>
  <c r="P25" i="2"/>
  <c r="Q25" i="2" s="1"/>
  <c r="S25" i="2" s="1"/>
  <c r="P16" i="2"/>
  <c r="Q16" i="2" s="1"/>
  <c r="S16" i="2" s="1"/>
  <c r="P110" i="2"/>
  <c r="Q110" i="2" s="1"/>
  <c r="S110" i="2" s="1"/>
  <c r="P102" i="2"/>
  <c r="Q102" i="2" s="1"/>
  <c r="S102" i="2" s="1"/>
  <c r="P94" i="2"/>
  <c r="Q94" i="2" s="1"/>
  <c r="S94" i="2" s="1"/>
  <c r="P86" i="2"/>
  <c r="Q86" i="2" s="1"/>
  <c r="S86" i="2" s="1"/>
  <c r="P78" i="2"/>
  <c r="Q78" i="2" s="1"/>
  <c r="S78" i="2" s="1"/>
  <c r="P70" i="2"/>
  <c r="Q70" i="2" s="1"/>
  <c r="S70" i="2" s="1"/>
  <c r="P62" i="2"/>
  <c r="Q62" i="2" s="1"/>
  <c r="S62" i="2" s="1"/>
  <c r="P54" i="2"/>
  <c r="Q54" i="2" s="1"/>
  <c r="S54" i="2" s="1"/>
  <c r="P46" i="2"/>
  <c r="Q46" i="2" s="1"/>
  <c r="S46" i="2" s="1"/>
  <c r="P38" i="2"/>
  <c r="Q38" i="2" s="1"/>
  <c r="S38" i="2" s="1"/>
  <c r="P30" i="2"/>
  <c r="Q30" i="2" s="1"/>
  <c r="S30" i="2" s="1"/>
  <c r="P22" i="2"/>
  <c r="Q22" i="2" s="1"/>
  <c r="S22" i="2" s="1"/>
  <c r="I15" i="2"/>
  <c r="J15" i="2" s="1"/>
  <c r="L15" i="2" s="1"/>
  <c r="P27" i="2"/>
  <c r="Q27" i="2" s="1"/>
  <c r="S27" i="2" s="1"/>
  <c r="P52" i="2"/>
  <c r="Q52" i="2" s="1"/>
  <c r="S52" i="2" s="1"/>
  <c r="P84" i="2"/>
  <c r="Q84" i="2" s="1"/>
  <c r="S84" i="2" s="1"/>
  <c r="I18" i="2"/>
  <c r="J18" i="2" s="1"/>
  <c r="L18" i="2" s="1"/>
  <c r="I23" i="2"/>
  <c r="J23" i="2" s="1"/>
  <c r="L23" i="2" s="1"/>
  <c r="P28" i="2"/>
  <c r="Q28" i="2" s="1"/>
  <c r="S28" i="2" s="1"/>
  <c r="P35" i="2"/>
  <c r="Q35" i="2" s="1"/>
  <c r="S35" i="2" s="1"/>
  <c r="P43" i="2"/>
  <c r="Q43" i="2" s="1"/>
  <c r="S43" i="2" s="1"/>
  <c r="P75" i="2"/>
  <c r="Q75" i="2" s="1"/>
  <c r="S75" i="2" s="1"/>
  <c r="P107" i="2"/>
  <c r="Q107" i="2" s="1"/>
  <c r="S107" i="2" s="1"/>
  <c r="P18" i="2"/>
  <c r="Q18" i="2" s="1"/>
  <c r="S18" i="2" s="1"/>
  <c r="I21" i="2"/>
  <c r="J21" i="2" s="1"/>
  <c r="L21" i="2" s="1"/>
  <c r="P68" i="2"/>
  <c r="Q68" i="2" s="1"/>
  <c r="S68" i="2" s="1"/>
  <c r="P100" i="2"/>
  <c r="Q100" i="2" s="1"/>
  <c r="S100" i="2" s="1"/>
  <c r="P67" i="2"/>
  <c r="Q67" i="2" s="1"/>
  <c r="S67" i="2" s="1"/>
  <c r="P99" i="2"/>
  <c r="Q99" i="2" s="1"/>
  <c r="S99" i="2" s="1"/>
  <c r="P14" i="2"/>
  <c r="Q14" i="2" s="1"/>
  <c r="S14" i="2" s="1"/>
  <c r="P17" i="2"/>
  <c r="Q17" i="2" s="1"/>
  <c r="S17" i="2" s="1"/>
  <c r="P21" i="2"/>
  <c r="Q21" i="2" s="1"/>
  <c r="S21" i="2" s="1"/>
  <c r="P31" i="2"/>
  <c r="Q31" i="2" s="1"/>
  <c r="S31" i="2" s="1"/>
  <c r="P59" i="2"/>
  <c r="Q59" i="2" s="1"/>
  <c r="S59" i="2" s="1"/>
  <c r="P91" i="2"/>
  <c r="Q91" i="2" s="1"/>
  <c r="S91" i="2" s="1"/>
  <c r="I16" i="2"/>
  <c r="J16" i="2" s="1"/>
  <c r="L16" i="2" s="1"/>
  <c r="I22" i="2"/>
  <c r="J22" i="2" s="1"/>
  <c r="L22" i="2" s="1"/>
  <c r="I14" i="2"/>
  <c r="J14" i="2" s="1"/>
  <c r="L14" i="2" s="1"/>
  <c r="I24" i="2"/>
  <c r="J24" i="2" s="1"/>
  <c r="L24" i="2" s="1"/>
  <c r="I20" i="2"/>
  <c r="J20" i="2" s="1"/>
  <c r="L20" i="2" s="1"/>
  <c r="I19" i="2"/>
  <c r="J19" i="2" s="1"/>
  <c r="L19" i="2" s="1"/>
  <c r="P51" i="2"/>
  <c r="Q51" i="2" s="1"/>
  <c r="S51" i="2" s="1"/>
  <c r="P83" i="2"/>
  <c r="Q83" i="2" s="1"/>
  <c r="S83" i="2" s="1"/>
  <c r="B14" i="2"/>
  <c r="C14" i="2" s="1"/>
  <c r="E14" i="2" s="1"/>
  <c r="B17" i="2"/>
  <c r="C17" i="2" s="1"/>
  <c r="E17" i="2" s="1"/>
  <c r="N54" i="1"/>
  <c r="O54" i="1" s="1"/>
  <c r="P54" i="1" s="1"/>
  <c r="N110" i="1"/>
  <c r="O110" i="1" s="1"/>
  <c r="P110" i="1" s="1"/>
  <c r="N46" i="1"/>
  <c r="O46" i="1" s="1"/>
  <c r="P46" i="1" s="1"/>
  <c r="N102" i="1"/>
  <c r="O102" i="1" s="1"/>
  <c r="P102" i="1" s="1"/>
  <c r="N38" i="1"/>
  <c r="O38" i="1" s="1"/>
  <c r="P38" i="1" s="1"/>
  <c r="N94" i="1"/>
  <c r="O94" i="1" s="1"/>
  <c r="P94" i="1" s="1"/>
  <c r="N31" i="1"/>
  <c r="O31" i="1" s="1"/>
  <c r="P31" i="1" s="1"/>
  <c r="N62" i="1"/>
  <c r="O62" i="1" s="1"/>
  <c r="P62" i="1" s="1"/>
  <c r="N86" i="1"/>
  <c r="O86" i="1" s="1"/>
  <c r="P86" i="1" s="1"/>
  <c r="N28" i="1"/>
  <c r="O28" i="1" s="1"/>
  <c r="P28" i="1" s="1"/>
  <c r="N78" i="1"/>
  <c r="O78" i="1" s="1"/>
  <c r="P78" i="1" s="1"/>
  <c r="N27" i="1"/>
  <c r="O27" i="1" s="1"/>
  <c r="P27" i="1" s="1"/>
  <c r="N70" i="1"/>
  <c r="O70" i="1" s="1"/>
  <c r="P70" i="1" s="1"/>
  <c r="N24" i="1"/>
  <c r="O24" i="1" s="1"/>
  <c r="P24" i="1" s="1"/>
  <c r="H19" i="1"/>
  <c r="I19" i="1" s="1"/>
  <c r="J19" i="1" s="1"/>
  <c r="H21" i="1"/>
  <c r="I21" i="1" s="1"/>
  <c r="J21" i="1" s="1"/>
  <c r="N17" i="1"/>
  <c r="O17" i="1" s="1"/>
  <c r="P17" i="1" s="1"/>
  <c r="N113" i="1"/>
  <c r="O113" i="1" s="1"/>
  <c r="P113" i="1" s="1"/>
  <c r="N109" i="1"/>
  <c r="O109" i="1" s="1"/>
  <c r="P109" i="1" s="1"/>
  <c r="N105" i="1"/>
  <c r="O105" i="1" s="1"/>
  <c r="P105" i="1" s="1"/>
  <c r="N101" i="1"/>
  <c r="O101" i="1" s="1"/>
  <c r="P101" i="1" s="1"/>
  <c r="N97" i="1"/>
  <c r="O97" i="1" s="1"/>
  <c r="P97" i="1" s="1"/>
  <c r="N93" i="1"/>
  <c r="O93" i="1" s="1"/>
  <c r="P93" i="1" s="1"/>
  <c r="N89" i="1"/>
  <c r="O89" i="1" s="1"/>
  <c r="P89" i="1" s="1"/>
  <c r="N85" i="1"/>
  <c r="O85" i="1" s="1"/>
  <c r="P85" i="1" s="1"/>
  <c r="N81" i="1"/>
  <c r="O81" i="1" s="1"/>
  <c r="P81" i="1" s="1"/>
  <c r="N77" i="1"/>
  <c r="O77" i="1" s="1"/>
  <c r="P77" i="1" s="1"/>
  <c r="N73" i="1"/>
  <c r="O73" i="1" s="1"/>
  <c r="P73" i="1" s="1"/>
  <c r="N69" i="1"/>
  <c r="O69" i="1" s="1"/>
  <c r="P69" i="1" s="1"/>
  <c r="N65" i="1"/>
  <c r="O65" i="1" s="1"/>
  <c r="P65" i="1" s="1"/>
  <c r="N61" i="1"/>
  <c r="O61" i="1" s="1"/>
  <c r="P61" i="1" s="1"/>
  <c r="N57" i="1"/>
  <c r="O57" i="1" s="1"/>
  <c r="P57" i="1" s="1"/>
  <c r="N53" i="1"/>
  <c r="O53" i="1" s="1"/>
  <c r="P53" i="1" s="1"/>
  <c r="N49" i="1"/>
  <c r="O49" i="1" s="1"/>
  <c r="P49" i="1" s="1"/>
  <c r="N45" i="1"/>
  <c r="O45" i="1" s="1"/>
  <c r="P45" i="1" s="1"/>
  <c r="N41" i="1"/>
  <c r="O41" i="1" s="1"/>
  <c r="P41" i="1" s="1"/>
  <c r="N37" i="1"/>
  <c r="O37" i="1" s="1"/>
  <c r="P37" i="1" s="1"/>
  <c r="N33" i="1"/>
  <c r="O33" i="1" s="1"/>
  <c r="P33" i="1" s="1"/>
  <c r="N23" i="1"/>
  <c r="O23" i="1" s="1"/>
  <c r="P23" i="1" s="1"/>
  <c r="H18" i="1"/>
  <c r="I18" i="1" s="1"/>
  <c r="J18" i="1" s="1"/>
  <c r="H20" i="1"/>
  <c r="I20" i="1" s="1"/>
  <c r="J20" i="1" s="1"/>
  <c r="N16" i="1"/>
  <c r="O16" i="1" s="1"/>
  <c r="P16" i="1" s="1"/>
  <c r="N112" i="1"/>
  <c r="O112" i="1" s="1"/>
  <c r="P112" i="1" s="1"/>
  <c r="N108" i="1"/>
  <c r="O108" i="1" s="1"/>
  <c r="P108" i="1" s="1"/>
  <c r="N104" i="1"/>
  <c r="O104" i="1" s="1"/>
  <c r="P104" i="1" s="1"/>
  <c r="N100" i="1"/>
  <c r="O100" i="1" s="1"/>
  <c r="P100" i="1" s="1"/>
  <c r="N96" i="1"/>
  <c r="O96" i="1" s="1"/>
  <c r="P96" i="1" s="1"/>
  <c r="N92" i="1"/>
  <c r="O92" i="1" s="1"/>
  <c r="P92" i="1" s="1"/>
  <c r="N88" i="1"/>
  <c r="O88" i="1" s="1"/>
  <c r="P88" i="1" s="1"/>
  <c r="N84" i="1"/>
  <c r="O84" i="1" s="1"/>
  <c r="P84" i="1" s="1"/>
  <c r="N80" i="1"/>
  <c r="O80" i="1" s="1"/>
  <c r="P80" i="1" s="1"/>
  <c r="N76" i="1"/>
  <c r="O76" i="1" s="1"/>
  <c r="P76" i="1" s="1"/>
  <c r="N72" i="1"/>
  <c r="O72" i="1" s="1"/>
  <c r="P72" i="1" s="1"/>
  <c r="N68" i="1"/>
  <c r="O68" i="1" s="1"/>
  <c r="P68" i="1" s="1"/>
  <c r="N64" i="1"/>
  <c r="O64" i="1" s="1"/>
  <c r="P64" i="1" s="1"/>
  <c r="N60" i="1"/>
  <c r="O60" i="1" s="1"/>
  <c r="P60" i="1" s="1"/>
  <c r="N56" i="1"/>
  <c r="O56" i="1" s="1"/>
  <c r="P56" i="1" s="1"/>
  <c r="N52" i="1"/>
  <c r="O52" i="1" s="1"/>
  <c r="P52" i="1" s="1"/>
  <c r="N48" i="1"/>
  <c r="O48" i="1" s="1"/>
  <c r="P48" i="1" s="1"/>
  <c r="N44" i="1"/>
  <c r="O44" i="1" s="1"/>
  <c r="P44" i="1" s="1"/>
  <c r="N40" i="1"/>
  <c r="O40" i="1" s="1"/>
  <c r="P40" i="1" s="1"/>
  <c r="N36" i="1"/>
  <c r="O36" i="1" s="1"/>
  <c r="P36" i="1" s="1"/>
  <c r="N32" i="1"/>
  <c r="O32" i="1" s="1"/>
  <c r="P32" i="1" s="1"/>
  <c r="H15" i="1"/>
  <c r="I15" i="1" s="1"/>
  <c r="J15" i="1" s="1"/>
  <c r="H16" i="1"/>
  <c r="I16" i="1" s="1"/>
  <c r="J16" i="1" s="1"/>
  <c r="N19" i="1"/>
  <c r="O19" i="1" s="1"/>
  <c r="P19" i="1" s="1"/>
  <c r="N22" i="1"/>
  <c r="O22" i="1" s="1"/>
  <c r="P22" i="1" s="1"/>
  <c r="H17" i="1"/>
  <c r="I17" i="1" s="1"/>
  <c r="J17" i="1" s="1"/>
  <c r="H23" i="1"/>
  <c r="I23" i="1" s="1"/>
  <c r="J23" i="1" s="1"/>
  <c r="N15" i="1"/>
  <c r="O15" i="1" s="1"/>
  <c r="P15" i="1" s="1"/>
  <c r="N111" i="1"/>
  <c r="O111" i="1" s="1"/>
  <c r="P111" i="1" s="1"/>
  <c r="N107" i="1"/>
  <c r="O107" i="1" s="1"/>
  <c r="P107" i="1" s="1"/>
  <c r="N103" i="1"/>
  <c r="O103" i="1" s="1"/>
  <c r="P103" i="1" s="1"/>
  <c r="N99" i="1"/>
  <c r="O99" i="1" s="1"/>
  <c r="P99" i="1" s="1"/>
  <c r="N95" i="1"/>
  <c r="O95" i="1" s="1"/>
  <c r="P95" i="1" s="1"/>
  <c r="N91" i="1"/>
  <c r="O91" i="1" s="1"/>
  <c r="P91" i="1" s="1"/>
  <c r="N87" i="1"/>
  <c r="O87" i="1" s="1"/>
  <c r="P87" i="1" s="1"/>
  <c r="N83" i="1"/>
  <c r="O83" i="1" s="1"/>
  <c r="P83" i="1" s="1"/>
  <c r="N79" i="1"/>
  <c r="O79" i="1" s="1"/>
  <c r="P79" i="1" s="1"/>
  <c r="N75" i="1"/>
  <c r="O75" i="1" s="1"/>
  <c r="P75" i="1" s="1"/>
  <c r="N71" i="1"/>
  <c r="O71" i="1" s="1"/>
  <c r="P71" i="1" s="1"/>
  <c r="N67" i="1"/>
  <c r="O67" i="1" s="1"/>
  <c r="P67" i="1" s="1"/>
  <c r="N63" i="1"/>
  <c r="O63" i="1" s="1"/>
  <c r="P63" i="1" s="1"/>
  <c r="N59" i="1"/>
  <c r="O59" i="1" s="1"/>
  <c r="P59" i="1" s="1"/>
  <c r="N55" i="1"/>
  <c r="O55" i="1" s="1"/>
  <c r="P55" i="1" s="1"/>
  <c r="N51" i="1"/>
  <c r="O51" i="1" s="1"/>
  <c r="P51" i="1" s="1"/>
  <c r="N47" i="1"/>
  <c r="O47" i="1" s="1"/>
  <c r="P47" i="1" s="1"/>
  <c r="N43" i="1"/>
  <c r="O43" i="1" s="1"/>
  <c r="P43" i="1" s="1"/>
  <c r="N39" i="1"/>
  <c r="O39" i="1" s="1"/>
  <c r="P39" i="1" s="1"/>
  <c r="N35" i="1"/>
  <c r="O35" i="1" s="1"/>
  <c r="P35" i="1" s="1"/>
  <c r="N26" i="1"/>
  <c r="O26" i="1" s="1"/>
  <c r="P26" i="1" s="1"/>
  <c r="N21" i="1"/>
  <c r="O21" i="1" s="1"/>
  <c r="P21" i="1" s="1"/>
  <c r="H24" i="1"/>
  <c r="I24" i="1" s="1"/>
  <c r="J24" i="1" s="1"/>
  <c r="N18" i="1"/>
  <c r="O18" i="1" s="1"/>
  <c r="P18" i="1" s="1"/>
  <c r="N30" i="1"/>
  <c r="O30" i="1" s="1"/>
  <c r="P30" i="1" s="1"/>
  <c r="N20" i="1"/>
  <c r="O20" i="1" s="1"/>
  <c r="P20" i="1" s="1"/>
  <c r="H14" i="1"/>
  <c r="I14" i="1" s="1"/>
  <c r="J14" i="1" s="1"/>
  <c r="N14" i="1"/>
  <c r="O14" i="1" s="1"/>
  <c r="P14" i="1" s="1"/>
  <c r="N114" i="1"/>
  <c r="O114" i="1" s="1"/>
  <c r="P114" i="1" s="1"/>
  <c r="N106" i="1"/>
  <c r="O106" i="1" s="1"/>
  <c r="P106" i="1" s="1"/>
  <c r="N98" i="1"/>
  <c r="O98" i="1" s="1"/>
  <c r="P98" i="1" s="1"/>
  <c r="N90" i="1"/>
  <c r="O90" i="1" s="1"/>
  <c r="P90" i="1" s="1"/>
  <c r="N82" i="1"/>
  <c r="O82" i="1" s="1"/>
  <c r="P82" i="1" s="1"/>
  <c r="N74" i="1"/>
  <c r="O74" i="1" s="1"/>
  <c r="P74" i="1" s="1"/>
  <c r="N66" i="1"/>
  <c r="O66" i="1" s="1"/>
  <c r="P66" i="1" s="1"/>
  <c r="N58" i="1"/>
  <c r="O58" i="1" s="1"/>
  <c r="P58" i="1" s="1"/>
  <c r="N50" i="1"/>
  <c r="O50" i="1" s="1"/>
  <c r="P50" i="1" s="1"/>
  <c r="N42" i="1"/>
  <c r="O42" i="1" s="1"/>
  <c r="P42" i="1" s="1"/>
  <c r="N34" i="1"/>
  <c r="O34" i="1" s="1"/>
  <c r="P34" i="1" s="1"/>
  <c r="N29" i="1"/>
  <c r="O29" i="1" s="1"/>
  <c r="P29" i="1" s="1"/>
  <c r="D14" i="1"/>
  <c r="E20" i="2" l="1"/>
  <c r="L25" i="2"/>
  <c r="M25" i="2" s="1"/>
  <c r="S115" i="2"/>
  <c r="T115" i="2" s="1"/>
  <c r="F20" i="2"/>
  <c r="J25" i="1"/>
  <c r="P115" i="1"/>
</calcChain>
</file>

<file path=xl/sharedStrings.xml><?xml version="1.0" encoding="utf-8"?>
<sst xmlns="http://schemas.openxmlformats.org/spreadsheetml/2006/main" count="109" uniqueCount="24">
  <si>
    <t>Dados:</t>
  </si>
  <si>
    <t>a =</t>
  </si>
  <si>
    <t>b =</t>
  </si>
  <si>
    <t>n =</t>
  </si>
  <si>
    <t>i</t>
  </si>
  <si>
    <t>xi</t>
  </si>
  <si>
    <t>f(xi)</t>
  </si>
  <si>
    <t>h =</t>
  </si>
  <si>
    <t>f(xi)*h</t>
  </si>
  <si>
    <t>Σ =</t>
  </si>
  <si>
    <t>Erro</t>
  </si>
  <si>
    <t>Soma de Riemann</t>
  </si>
  <si>
    <t>IN</t>
  </si>
  <si>
    <t>Coef</t>
  </si>
  <si>
    <t>Método dos Trapézios</t>
  </si>
  <si>
    <t>n = 5</t>
  </si>
  <si>
    <t>n = 10</t>
  </si>
  <si>
    <t>n = 100</t>
  </si>
  <si>
    <t>Erro =</t>
  </si>
  <si>
    <r>
      <t>A</t>
    </r>
    <r>
      <rPr>
        <b/>
        <vertAlign val="subscript"/>
        <sz val="11"/>
        <color theme="1"/>
        <rFont val="Calibri"/>
        <family val="2"/>
        <scheme val="minor"/>
      </rPr>
      <t>exata</t>
    </r>
    <r>
      <rPr>
        <b/>
        <sz val="11"/>
        <color theme="1"/>
        <rFont val="Calibri"/>
        <family val="2"/>
        <scheme val="minor"/>
      </rPr>
      <t xml:space="preserve"> =</t>
    </r>
  </si>
  <si>
    <t>Função:</t>
  </si>
  <si>
    <t>Intervalo:</t>
  </si>
  <si>
    <t>Riemann</t>
  </si>
  <si>
    <t>Trapézios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</si>
</sst>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00%"/>
    <numFmt numFmtId="167" formatCode="0.00000"/>
    <numFmt numFmtId="168" formatCode="0.0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  <xf numFmtId="165" fontId="2" fillId="0" borderId="0" xfId="1" applyNumberFormat="1" applyFont="1"/>
    <xf numFmtId="10" fontId="2" fillId="0" borderId="0" xfId="1" applyNumberFormat="1" applyFont="1"/>
    <xf numFmtId="166" fontId="2" fillId="0" borderId="0" xfId="1" applyNumberFormat="1" applyFont="1"/>
    <xf numFmtId="0" fontId="5" fillId="3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right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right"/>
    </xf>
    <xf numFmtId="165" fontId="2" fillId="6" borderId="0" xfId="1" applyNumberFormat="1" applyFont="1" applyFill="1" applyAlignment="1">
      <alignment horizontal="center"/>
    </xf>
    <xf numFmtId="166" fontId="2" fillId="6" borderId="0" xfId="1" applyNumberFormat="1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164" fontId="0" fillId="0" borderId="3" xfId="0" applyNumberForma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164" fontId="2" fillId="8" borderId="0" xfId="0" applyNumberFormat="1" applyFont="1" applyFill="1" applyAlignment="1">
      <alignment horizontal="center"/>
    </xf>
    <xf numFmtId="168" fontId="2" fillId="0" borderId="0" xfId="1" applyNumberFormat="1" applyFont="1"/>
    <xf numFmtId="0" fontId="8" fillId="6" borderId="0" xfId="0" applyFont="1" applyFill="1" applyAlignment="1">
      <alignment horizontal="right"/>
    </xf>
    <xf numFmtId="166" fontId="8" fillId="6" borderId="0" xfId="1" applyNumberFormat="1" applyFont="1" applyFill="1" applyAlignment="1">
      <alignment horizontal="center"/>
    </xf>
    <xf numFmtId="168" fontId="8" fillId="6" borderId="0" xfId="1" applyNumberFormat="1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107338</xdr:colOff>
      <xdr:row>3</xdr:row>
      <xdr:rowOff>103309</xdr:rowOff>
    </xdr:from>
    <xdr:ext cx="448776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872A4FDD-B74B-463E-9E63-21DF2F11EEF0}"/>
                </a:ext>
              </a:extLst>
            </xdr:cNvPr>
            <xdr:cNvSpPr txBox="1"/>
          </xdr:nvSpPr>
          <xdr:spPr>
            <a:xfrm>
              <a:off x="1931742" y="674809"/>
              <a:ext cx="448776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1" i="1">
                        <a:latin typeface="Cambria Math" panose="02040503050406030204" pitchFamily="18" charset="0"/>
                      </a:rPr>
                      <m:t>𝒚</m:t>
                    </m:r>
                    <m:r>
                      <a:rPr lang="pt-BR" sz="1100" b="1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872A4FDD-B74B-463E-9E63-21DF2F11EEF0}"/>
                </a:ext>
              </a:extLst>
            </xdr:cNvPr>
            <xdr:cNvSpPr txBox="1"/>
          </xdr:nvSpPr>
          <xdr:spPr>
            <a:xfrm>
              <a:off x="1931742" y="674809"/>
              <a:ext cx="448776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1" i="0">
                  <a:latin typeface="Cambria Math" panose="02040503050406030204" pitchFamily="18" charset="0"/>
                </a:rPr>
                <a:t>𝒚=𝒙^𝟐</a:t>
              </a:r>
              <a:endParaRPr lang="pt-BR" sz="1100" b="1"/>
            </a:p>
          </xdr:txBody>
        </xdr:sp>
      </mc:Fallback>
    </mc:AlternateContent>
    <xdr:clientData/>
  </xdr:oneCellAnchor>
  <xdr:twoCellAnchor>
    <xdr:from>
      <xdr:col>0</xdr:col>
      <xdr:colOff>200025</xdr:colOff>
      <xdr:row>28</xdr:row>
      <xdr:rowOff>95250</xdr:rowOff>
    </xdr:from>
    <xdr:to>
      <xdr:col>4</xdr:col>
      <xdr:colOff>557904</xdr:colOff>
      <xdr:row>40</xdr:row>
      <xdr:rowOff>66618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9344D8DE-6D76-479D-944E-2271E67BC2E1}"/>
            </a:ext>
          </a:extLst>
        </xdr:cNvPr>
        <xdr:cNvGrpSpPr/>
      </xdr:nvGrpSpPr>
      <xdr:grpSpPr>
        <a:xfrm>
          <a:off x="200025" y="5487865"/>
          <a:ext cx="2790417" cy="2257368"/>
          <a:chOff x="3419873" y="2355726"/>
          <a:chExt cx="2796279" cy="2257368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Retângulo 3">
                <a:extLst>
                  <a:ext uri="{FF2B5EF4-FFF2-40B4-BE49-F238E27FC236}">
                    <a16:creationId xmlns:a16="http://schemas.microsoft.com/office/drawing/2014/main" id="{C2161C33-22B0-4330-AD31-FF7EB4B82E73}"/>
                  </a:ext>
                </a:extLst>
              </xdr:cNvPr>
              <xdr:cNvSpPr/>
            </xdr:nvSpPr>
            <xdr:spPr>
              <a:xfrm>
                <a:off x="3419873" y="2355726"/>
                <a:ext cx="1371081" cy="848566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nary>
                        <m:naryPr>
                          <m:chr m:val="∑"/>
                          <m:ctrlP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𝑖</m:t>
                          </m:r>
                          <m: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  <m:sup>
                          <m: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𝑛</m:t>
                          </m:r>
                        </m:sup>
                        <m:e>
                          <m: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𝑓</m:t>
                          </m:r>
                          <m:d>
                            <m:dPr>
                              <m:ctrlPr>
                                <a:rPr lang="pt-BR" i="1">
                                  <a:solidFill>
                                    <a:prstClr val="black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sSub>
                                <m:sSubPr>
                                  <m:ctrlPr>
                                    <a:rPr lang="pt-BR" b="0" i="1">
                                      <a:solidFill>
                                        <a:prstClr val="black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b="0" i="1">
                                      <a:solidFill>
                                        <a:prstClr val="black"/>
                                      </a:solidFill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b="0" i="1">
                                      <a:solidFill>
                                        <a:prstClr val="black"/>
                                      </a:solidFill>
                                      <a:latin typeface="Cambria Math" panose="02040503050406030204" pitchFamily="18" charset="0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d>
                          <m:r>
                            <m:rPr>
                              <m:sty m:val="p"/>
                            </m:rPr>
                            <a:rPr lang="pt-BR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</m:nary>
                    </m:oMath>
                  </m:oMathPara>
                </a14:m>
                <a:endParaRPr lang="pt-BR"/>
              </a:p>
            </xdr:txBody>
          </xdr:sp>
        </mc:Choice>
        <mc:Fallback xmlns="">
          <xdr:sp macro="" textlink="">
            <xdr:nvSpPr>
              <xdr:cNvPr id="4" name="Retângulo 3">
                <a:extLst>
                  <a:ext uri="{FF2B5EF4-FFF2-40B4-BE49-F238E27FC236}">
                    <a16:creationId xmlns:a16="http://schemas.microsoft.com/office/drawing/2014/main" id="{C2161C33-22B0-4330-AD31-FF7EB4B82E73}"/>
                  </a:ext>
                </a:extLst>
              </xdr:cNvPr>
              <xdr:cNvSpPr/>
            </xdr:nvSpPr>
            <xdr:spPr>
              <a:xfrm>
                <a:off x="3419873" y="2355726"/>
                <a:ext cx="1371081" cy="848566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pt-BR" i="0">
                    <a:solidFill>
                      <a:prstClr val="black"/>
                    </a:solidFill>
                    <a:latin typeface="Cambria Math" panose="02040503050406030204" pitchFamily="18" charset="0"/>
                  </a:rPr>
                  <a:t>∑_(𝑖=1)^𝑛▒𝑓(</a:t>
                </a:r>
                <a:r>
                  <a:rPr lang="pt-BR" b="0" i="0">
                    <a:solidFill>
                      <a:prstClr val="black"/>
                    </a:solidFill>
                    <a:latin typeface="Cambria Math" panose="02040503050406030204" pitchFamily="18" charset="0"/>
                  </a:rPr>
                  <a:t>𝑥_𝑖 )</a:t>
                </a:r>
                <a:r>
                  <a:rPr lang="pt-BR" i="0">
                    <a:solidFill>
                      <a:prstClr val="black"/>
                    </a:solidFill>
                    <a:latin typeface="Cambria Math" panose="02040503050406030204" pitchFamily="18" charset="0"/>
                  </a:rPr>
                  <a:t>Δ𝑥</a:t>
                </a:r>
                <a:endParaRPr lang="pt-BR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" name="Retângulo 4">
                <a:extLst>
                  <a:ext uri="{FF2B5EF4-FFF2-40B4-BE49-F238E27FC236}">
                    <a16:creationId xmlns:a16="http://schemas.microsoft.com/office/drawing/2014/main" id="{0AEBAF05-52D1-4DBC-8369-E3CA2BDCD34C}"/>
                  </a:ext>
                </a:extLst>
              </xdr:cNvPr>
              <xdr:cNvSpPr/>
            </xdr:nvSpPr>
            <xdr:spPr>
              <a:xfrm>
                <a:off x="4355976" y="3543360"/>
                <a:ext cx="1860176" cy="618246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pt-BR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</a:rPr>
                        <m:t>Δ</m:t>
                      </m:r>
                      <m:r>
                        <a:rPr lang="pt-BR" i="1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pt-BR" b="0" i="0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pt-BR" b="0" i="1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</a:rPr>
                        <m:t>h</m:t>
                      </m:r>
                      <m:r>
                        <a:rPr lang="pt-BR" b="0" i="0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</a:rPr>
                        <m:t>= </m:t>
                      </m:r>
                      <m:f>
                        <m:fPr>
                          <m:ctrlPr>
                            <a:rPr lang="pt-BR" b="0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b="0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𝑏</m:t>
                          </m:r>
                          <m:r>
                            <a:rPr lang="pt-BR" b="0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 −</m:t>
                          </m:r>
                          <m:r>
                            <a:rPr lang="pt-BR" b="0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𝑎</m:t>
                          </m:r>
                        </m:num>
                        <m:den>
                          <m:r>
                            <a:rPr lang="pt-BR" b="0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𝑛</m:t>
                          </m:r>
                        </m:den>
                      </m:f>
                    </m:oMath>
                  </m:oMathPara>
                </a14:m>
                <a:endParaRPr lang="pt-BR"/>
              </a:p>
            </xdr:txBody>
          </xdr:sp>
        </mc:Choice>
        <mc:Fallback xmlns="">
          <xdr:sp macro="" textlink="">
            <xdr:nvSpPr>
              <xdr:cNvPr id="5" name="Retângulo 4">
                <a:extLst>
                  <a:ext uri="{FF2B5EF4-FFF2-40B4-BE49-F238E27FC236}">
                    <a16:creationId xmlns:a16="http://schemas.microsoft.com/office/drawing/2014/main" id="{0AEBAF05-52D1-4DBC-8369-E3CA2BDCD34C}"/>
                  </a:ext>
                </a:extLst>
              </xdr:cNvPr>
              <xdr:cNvSpPr/>
            </xdr:nvSpPr>
            <xdr:spPr>
              <a:xfrm>
                <a:off x="4355976" y="3543360"/>
                <a:ext cx="1860176" cy="618246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pt-BR" i="0">
                    <a:solidFill>
                      <a:prstClr val="black"/>
                    </a:solidFill>
                    <a:latin typeface="Cambria Math" panose="02040503050406030204" pitchFamily="18" charset="0"/>
                  </a:rPr>
                  <a:t>Δ𝑥</a:t>
                </a:r>
                <a:r>
                  <a:rPr lang="pt-BR" b="0" i="0">
                    <a:solidFill>
                      <a:prstClr val="black"/>
                    </a:solidFill>
                    <a:latin typeface="Cambria Math" panose="02040503050406030204" pitchFamily="18" charset="0"/>
                  </a:rPr>
                  <a:t>=ℎ=  (𝑏 −𝑎)/𝑛</a:t>
                </a:r>
                <a:endParaRPr lang="pt-BR"/>
              </a:p>
            </xdr:txBody>
          </xdr:sp>
        </mc:Fallback>
      </mc:AlternateContent>
      <xdr:cxnSp macro="">
        <xdr:nvCxnSpPr>
          <xdr:cNvPr id="6" name="Conector: Angulado 5">
            <a:extLst>
              <a:ext uri="{FF2B5EF4-FFF2-40B4-BE49-F238E27FC236}">
                <a16:creationId xmlns:a16="http://schemas.microsoft.com/office/drawing/2014/main" id="{E8746352-5908-463B-B819-30B2E1ED1CA7}"/>
              </a:ext>
            </a:extLst>
          </xdr:cNvPr>
          <xdr:cNvCxnSpPr>
            <a:cxnSpLocks/>
            <a:stCxn id="4" idx="2"/>
            <a:endCxn id="5" idx="1"/>
          </xdr:cNvCxnSpPr>
        </xdr:nvCxnSpPr>
        <xdr:spPr>
          <a:xfrm rot="16200000" flipH="1">
            <a:off x="3906600" y="3403106"/>
            <a:ext cx="648191" cy="250562"/>
          </a:xfrm>
          <a:prstGeom prst="bentConnector2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7" name="Retângulo 6">
                <a:extLst>
                  <a:ext uri="{FF2B5EF4-FFF2-40B4-BE49-F238E27FC236}">
                    <a16:creationId xmlns:a16="http://schemas.microsoft.com/office/drawing/2014/main" id="{2C0AFA23-38AF-4E7E-B9F4-3DA884EDE097}"/>
                  </a:ext>
                </a:extLst>
              </xdr:cNvPr>
              <xdr:cNvSpPr/>
            </xdr:nvSpPr>
            <xdr:spPr>
              <a:xfrm>
                <a:off x="4355975" y="4243762"/>
                <a:ext cx="1486369" cy="369332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pt-BR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pt-BR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pt-BR" i="1">
                              <a:latin typeface="Cambria Math" panose="02040503050406030204" pitchFamily="18" charset="0"/>
                            </a:rPr>
                            <m:t>𝑖</m:t>
                          </m:r>
                        </m:sub>
                      </m:sSub>
                      <m:r>
                        <a:rPr lang="pt-BR" i="1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pt-BR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pt-BR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pt-BR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m:rPr>
                          <m:sty m:val="p"/>
                        </m:rPr>
                        <a:rPr lang="pt-BR">
                          <a:latin typeface="Cambria Math" panose="02040503050406030204" pitchFamily="18" charset="0"/>
                        </a:rPr>
                        <m:t>Δ</m:t>
                      </m:r>
                      <m:r>
                        <a:rPr lang="pt-BR" i="1">
                          <a:latin typeface="Cambria Math" panose="02040503050406030204" pitchFamily="18" charset="0"/>
                        </a:rPr>
                        <m:t>𝑥</m:t>
                      </m:r>
                    </m:oMath>
                  </m:oMathPara>
                </a14:m>
                <a:endParaRPr lang="pt-BR"/>
              </a:p>
            </xdr:txBody>
          </xdr:sp>
        </mc:Choice>
        <mc:Fallback xmlns="">
          <xdr:sp macro="" textlink="">
            <xdr:nvSpPr>
              <xdr:cNvPr id="7" name="Retângulo 6">
                <a:extLst>
                  <a:ext uri="{FF2B5EF4-FFF2-40B4-BE49-F238E27FC236}">
                    <a16:creationId xmlns:a16="http://schemas.microsoft.com/office/drawing/2014/main" id="{2C0AFA23-38AF-4E7E-B9F4-3DA884EDE097}"/>
                  </a:ext>
                </a:extLst>
              </xdr:cNvPr>
              <xdr:cNvSpPr/>
            </xdr:nvSpPr>
            <xdr:spPr>
              <a:xfrm>
                <a:off x="4355975" y="4243762"/>
                <a:ext cx="1486369" cy="369332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pt-BR" i="0">
                    <a:latin typeface="Cambria Math" panose="02040503050406030204" pitchFamily="18" charset="0"/>
                  </a:rPr>
                  <a:t>𝑥_𝑖=𝑎+𝑖Δ𝑥</a:t>
                </a:r>
                <a:endParaRPr lang="pt-BR"/>
              </a:p>
            </xdr:txBody>
          </xdr:sp>
        </mc:Fallback>
      </mc:AlternateContent>
      <xdr:cxnSp macro="">
        <xdr:nvCxnSpPr>
          <xdr:cNvPr id="8" name="Conector: Angulado 7">
            <a:extLst>
              <a:ext uri="{FF2B5EF4-FFF2-40B4-BE49-F238E27FC236}">
                <a16:creationId xmlns:a16="http://schemas.microsoft.com/office/drawing/2014/main" id="{B934FA54-A37F-4964-B5E6-E2C88493A4A9}"/>
              </a:ext>
            </a:extLst>
          </xdr:cNvPr>
          <xdr:cNvCxnSpPr>
            <a:cxnSpLocks/>
            <a:stCxn id="4" idx="2"/>
            <a:endCxn id="7" idx="1"/>
          </xdr:cNvCxnSpPr>
        </xdr:nvCxnSpPr>
        <xdr:spPr>
          <a:xfrm rot="16200000" flipH="1">
            <a:off x="3618626" y="3691079"/>
            <a:ext cx="1224136" cy="250561"/>
          </a:xfrm>
          <a:prstGeom prst="bentConnector2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241789</xdr:colOff>
      <xdr:row>2</xdr:row>
      <xdr:rowOff>139211</xdr:rowOff>
    </xdr:from>
    <xdr:ext cx="1266757" cy="4996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418A6149-3CF3-4BAD-9FFC-A67A515363BB}"/>
                </a:ext>
              </a:extLst>
            </xdr:cNvPr>
            <xdr:cNvSpPr txBox="1"/>
          </xdr:nvSpPr>
          <xdr:spPr>
            <a:xfrm>
              <a:off x="3890597" y="520211"/>
              <a:ext cx="1266757" cy="4996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pt-BR" sz="11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  <m:sup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  <m:e>
                        <m:sSup>
                          <m:sSupPr>
                            <m:ctrlPr>
                              <a:rPr lang="pt-BR" sz="11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𝒙</m:t>
                            </m:r>
                          </m:e>
                          <m:sup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𝒅𝒙</m:t>
                        </m:r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=</m:t>
                        </m:r>
                        <m:sSubSup>
                          <m:sSubSupPr>
                            <m:ctrlPr>
                              <a:rPr lang="pt-BR" sz="1100" b="1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d>
                              <m:dPr>
                                <m:begChr m:val=""/>
                                <m:endChr m:val="|"/>
                                <m:ctrlPr>
                                  <a:rPr lang="pt-BR" sz="11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pt-BR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pt-BR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pt-BR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𝒙</m:t>
                                        </m:r>
                                      </m:e>
                                      <m:sup>
                                        <m:r>
                                          <a:rPr lang="pt-BR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𝟑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pt-BR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𝟑</m:t>
                                    </m:r>
                                  </m:den>
                                </m:f>
                              </m:e>
                            </m:d>
                          </m:e>
                          <m:sub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  <m:sup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p>
                        </m:sSubSup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pt-BR" sz="11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num>
                          <m:den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𝟑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418A6149-3CF3-4BAD-9FFC-A67A515363BB}"/>
                </a:ext>
              </a:extLst>
            </xdr:cNvPr>
            <xdr:cNvSpPr txBox="1"/>
          </xdr:nvSpPr>
          <xdr:spPr>
            <a:xfrm>
              <a:off x="3890597" y="520211"/>
              <a:ext cx="1266757" cy="4996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1" i="0">
                  <a:latin typeface="Cambria Math" panose="02040503050406030204" pitchFamily="18" charset="0"/>
                </a:rPr>
                <a:t>∫24_𝟎^𝟏▒〖𝒙^𝟐 𝒅𝒙=├ 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𝒙^𝟑/𝟑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┤|_</a:t>
              </a:r>
              <a:r>
                <a:rPr lang="pt-BR" sz="1100" b="1" i="0">
                  <a:latin typeface="Cambria Math" panose="02040503050406030204" pitchFamily="18" charset="0"/>
                </a:rPr>
                <a:t>𝟎^𝟏=𝟏/𝟑〗</a:t>
              </a:r>
              <a:endParaRPr lang="pt-BR" sz="11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118330</xdr:colOff>
      <xdr:row>3</xdr:row>
      <xdr:rowOff>115766</xdr:rowOff>
    </xdr:from>
    <xdr:ext cx="448776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162DAD3B-C459-4930-944A-64F32396B501}"/>
                </a:ext>
              </a:extLst>
            </xdr:cNvPr>
            <xdr:cNvSpPr txBox="1"/>
          </xdr:nvSpPr>
          <xdr:spPr>
            <a:xfrm>
              <a:off x="2550868" y="687266"/>
              <a:ext cx="448776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1" i="1">
                        <a:latin typeface="Cambria Math" panose="02040503050406030204" pitchFamily="18" charset="0"/>
                      </a:rPr>
                      <m:t>𝒚</m:t>
                    </m:r>
                    <m:r>
                      <a:rPr lang="pt-BR" sz="1100" b="1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162DAD3B-C459-4930-944A-64F32396B501}"/>
                </a:ext>
              </a:extLst>
            </xdr:cNvPr>
            <xdr:cNvSpPr txBox="1"/>
          </xdr:nvSpPr>
          <xdr:spPr>
            <a:xfrm>
              <a:off x="2550868" y="687266"/>
              <a:ext cx="448776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1" i="0">
                  <a:latin typeface="Cambria Math" panose="02040503050406030204" pitchFamily="18" charset="0"/>
                </a:rPr>
                <a:t>𝒚=𝒙^𝟐</a:t>
              </a:r>
              <a:endParaRPr lang="pt-BR" sz="1100" b="1"/>
            </a:p>
          </xdr:txBody>
        </xdr:sp>
      </mc:Fallback>
    </mc:AlternateContent>
    <xdr:clientData/>
  </xdr:oneCellAnchor>
  <xdr:twoCellAnchor editAs="oneCell">
    <xdr:from>
      <xdr:col>0</xdr:col>
      <xdr:colOff>133350</xdr:colOff>
      <xdr:row>29</xdr:row>
      <xdr:rowOff>9525</xdr:rowOff>
    </xdr:from>
    <xdr:to>
      <xdr:col>8</xdr:col>
      <xdr:colOff>358933</xdr:colOff>
      <xdr:row>31</xdr:row>
      <xdr:rowOff>114300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0DDB212-84B7-46D5-ACB9-F2996EEB7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4419600"/>
          <a:ext cx="5102383" cy="485775"/>
        </a:xfrm>
        <a:prstGeom prst="rect">
          <a:avLst/>
        </a:prstGeom>
      </xdr:spPr>
    </xdr:pic>
    <xdr:clientData/>
  </xdr:twoCellAnchor>
  <xdr:oneCellAnchor>
    <xdr:from>
      <xdr:col>7</xdr:col>
      <xdr:colOff>175847</xdr:colOff>
      <xdr:row>2</xdr:row>
      <xdr:rowOff>153866</xdr:rowOff>
    </xdr:from>
    <xdr:ext cx="1266757" cy="4996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A62EE59-37D8-42A1-8FA3-E6753B8FE4BB}"/>
                </a:ext>
              </a:extLst>
            </xdr:cNvPr>
            <xdr:cNvSpPr txBox="1"/>
          </xdr:nvSpPr>
          <xdr:spPr>
            <a:xfrm>
              <a:off x="4432789" y="534866"/>
              <a:ext cx="1266757" cy="4996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pt-BR" sz="11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  <m:sup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  <m:e>
                        <m:sSup>
                          <m:sSupPr>
                            <m:ctrlPr>
                              <a:rPr lang="pt-BR" sz="11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𝒙</m:t>
                            </m:r>
                          </m:e>
                          <m:sup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𝒅𝒙</m:t>
                        </m:r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=</m:t>
                        </m:r>
                        <m:sSubSup>
                          <m:sSubSupPr>
                            <m:ctrlPr>
                              <a:rPr lang="pt-BR" sz="1100" b="1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d>
                              <m:dPr>
                                <m:begChr m:val=""/>
                                <m:endChr m:val="|"/>
                                <m:ctrlPr>
                                  <a:rPr lang="pt-BR" sz="11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pt-BR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pt-BR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pt-BR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𝒙</m:t>
                                        </m:r>
                                      </m:e>
                                      <m:sup>
                                        <m:r>
                                          <a:rPr lang="pt-BR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𝟑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pt-BR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𝟑</m:t>
                                    </m:r>
                                  </m:den>
                                </m:f>
                              </m:e>
                            </m:d>
                          </m:e>
                          <m:sub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  <m:sup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p>
                        </m:sSubSup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pt-BR" sz="11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num>
                          <m:den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𝟑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A62EE59-37D8-42A1-8FA3-E6753B8FE4BB}"/>
                </a:ext>
              </a:extLst>
            </xdr:cNvPr>
            <xdr:cNvSpPr txBox="1"/>
          </xdr:nvSpPr>
          <xdr:spPr>
            <a:xfrm>
              <a:off x="4432789" y="534866"/>
              <a:ext cx="1266757" cy="4996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1" i="0">
                  <a:latin typeface="Cambria Math" panose="02040503050406030204" pitchFamily="18" charset="0"/>
                </a:rPr>
                <a:t>∫24_𝟎^𝟏▒〖𝒙^𝟐 𝒅𝒙=├ 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𝒙^𝟑/𝟑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┤|_</a:t>
              </a:r>
              <a:r>
                <a:rPr lang="pt-BR" sz="1100" b="1" i="0">
                  <a:latin typeface="Cambria Math" panose="02040503050406030204" pitchFamily="18" charset="0"/>
                </a:rPr>
                <a:t>𝟎^𝟏=𝟏/𝟑〗</a:t>
              </a:r>
              <a:endParaRPr lang="pt-BR" sz="1100" b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30</xdr:row>
      <xdr:rowOff>95250</xdr:rowOff>
    </xdr:from>
    <xdr:to>
      <xdr:col>4</xdr:col>
      <xdr:colOff>557904</xdr:colOff>
      <xdr:row>42</xdr:row>
      <xdr:rowOff>66618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5F2AB1AA-8C86-46F3-BD0A-18E656432349}"/>
            </a:ext>
          </a:extLst>
        </xdr:cNvPr>
        <xdr:cNvGrpSpPr/>
      </xdr:nvGrpSpPr>
      <xdr:grpSpPr>
        <a:xfrm>
          <a:off x="200025" y="5861538"/>
          <a:ext cx="2790417" cy="2257368"/>
          <a:chOff x="3419873" y="2355726"/>
          <a:chExt cx="2796279" cy="2257368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" name="Retângulo 3">
                <a:extLst>
                  <a:ext uri="{FF2B5EF4-FFF2-40B4-BE49-F238E27FC236}">
                    <a16:creationId xmlns:a16="http://schemas.microsoft.com/office/drawing/2014/main" id="{2F724296-67FE-4A29-8D89-FCB35C4BE9FD}"/>
                  </a:ext>
                </a:extLst>
              </xdr:cNvPr>
              <xdr:cNvSpPr/>
            </xdr:nvSpPr>
            <xdr:spPr>
              <a:xfrm>
                <a:off x="3419873" y="2355726"/>
                <a:ext cx="1371081" cy="848566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nary>
                        <m:naryPr>
                          <m:chr m:val="∑"/>
                          <m:ctrlP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𝑖</m:t>
                          </m:r>
                          <m: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  <m:sup>
                          <m: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𝑛</m:t>
                          </m:r>
                        </m:sup>
                        <m:e>
                          <m: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𝑓</m:t>
                          </m:r>
                          <m:d>
                            <m:dPr>
                              <m:ctrlPr>
                                <a:rPr lang="pt-BR" i="1">
                                  <a:solidFill>
                                    <a:prstClr val="black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sSub>
                                <m:sSubPr>
                                  <m:ctrlPr>
                                    <a:rPr lang="pt-BR" b="0" i="1">
                                      <a:solidFill>
                                        <a:prstClr val="black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b="0" i="1">
                                      <a:solidFill>
                                        <a:prstClr val="black"/>
                                      </a:solidFill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b="0" i="1">
                                      <a:solidFill>
                                        <a:prstClr val="black"/>
                                      </a:solidFill>
                                      <a:latin typeface="Cambria Math" panose="02040503050406030204" pitchFamily="18" charset="0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d>
                          <m:r>
                            <m:rPr>
                              <m:sty m:val="p"/>
                            </m:rPr>
                            <a:rPr lang="pt-BR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pt-BR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</m:nary>
                    </m:oMath>
                  </m:oMathPara>
                </a14:m>
                <a:endParaRPr lang="pt-BR"/>
              </a:p>
            </xdr:txBody>
          </xdr:sp>
        </mc:Choice>
        <mc:Fallback>
          <xdr:sp macro="" textlink="">
            <xdr:nvSpPr>
              <xdr:cNvPr id="4" name="Retângulo 3">
                <a:extLst>
                  <a:ext uri="{FF2B5EF4-FFF2-40B4-BE49-F238E27FC236}">
                    <a16:creationId xmlns:a16="http://schemas.microsoft.com/office/drawing/2014/main" id="{2F724296-67FE-4A29-8D89-FCB35C4BE9FD}"/>
                  </a:ext>
                </a:extLst>
              </xdr:cNvPr>
              <xdr:cNvSpPr/>
            </xdr:nvSpPr>
            <xdr:spPr>
              <a:xfrm>
                <a:off x="3419873" y="2355726"/>
                <a:ext cx="1371081" cy="848566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pt-BR" i="0">
                    <a:solidFill>
                      <a:prstClr val="black"/>
                    </a:solidFill>
                    <a:latin typeface="Cambria Math" panose="02040503050406030204" pitchFamily="18" charset="0"/>
                  </a:rPr>
                  <a:t>∑_(𝑖=1)^𝑛▒𝑓(</a:t>
                </a:r>
                <a:r>
                  <a:rPr lang="pt-BR" b="0" i="0">
                    <a:solidFill>
                      <a:prstClr val="black"/>
                    </a:solidFill>
                    <a:latin typeface="Cambria Math" panose="02040503050406030204" pitchFamily="18" charset="0"/>
                  </a:rPr>
                  <a:t>𝑥_𝑖 )</a:t>
                </a:r>
                <a:r>
                  <a:rPr lang="pt-BR" i="0">
                    <a:solidFill>
                      <a:prstClr val="black"/>
                    </a:solidFill>
                    <a:latin typeface="Cambria Math" panose="02040503050406030204" pitchFamily="18" charset="0"/>
                  </a:rPr>
                  <a:t>Δ𝑥</a:t>
                </a:r>
                <a:endParaRPr lang="pt-BR"/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" name="Retângulo 4">
                <a:extLst>
                  <a:ext uri="{FF2B5EF4-FFF2-40B4-BE49-F238E27FC236}">
                    <a16:creationId xmlns:a16="http://schemas.microsoft.com/office/drawing/2014/main" id="{DDF07707-8CF8-4EEC-B262-8C77372FF671}"/>
                  </a:ext>
                </a:extLst>
              </xdr:cNvPr>
              <xdr:cNvSpPr/>
            </xdr:nvSpPr>
            <xdr:spPr>
              <a:xfrm>
                <a:off x="4355976" y="3543360"/>
                <a:ext cx="1860176" cy="618246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pt-BR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</a:rPr>
                        <m:t>Δ</m:t>
                      </m:r>
                      <m:r>
                        <a:rPr lang="pt-BR" i="1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pt-BR" b="0" i="0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pt-BR" b="0" i="1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</a:rPr>
                        <m:t>h</m:t>
                      </m:r>
                      <m:r>
                        <a:rPr lang="pt-BR" b="0" i="0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</a:rPr>
                        <m:t>= </m:t>
                      </m:r>
                      <m:f>
                        <m:fPr>
                          <m:ctrlPr>
                            <a:rPr lang="pt-BR" b="0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b="0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𝑏</m:t>
                          </m:r>
                          <m:r>
                            <a:rPr lang="pt-BR" b="0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 −</m:t>
                          </m:r>
                          <m:r>
                            <a:rPr lang="pt-BR" b="0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𝑎</m:t>
                          </m:r>
                        </m:num>
                        <m:den>
                          <m:r>
                            <a:rPr lang="pt-BR" b="0" i="1">
                              <a:solidFill>
                                <a:prstClr val="black"/>
                              </a:solidFill>
                              <a:latin typeface="Cambria Math" panose="02040503050406030204" pitchFamily="18" charset="0"/>
                            </a:rPr>
                            <m:t>𝑛</m:t>
                          </m:r>
                        </m:den>
                      </m:f>
                    </m:oMath>
                  </m:oMathPara>
                </a14:m>
                <a:endParaRPr lang="pt-BR"/>
              </a:p>
            </xdr:txBody>
          </xdr:sp>
        </mc:Choice>
        <mc:Fallback>
          <xdr:sp macro="" textlink="">
            <xdr:nvSpPr>
              <xdr:cNvPr id="5" name="Retângulo 4">
                <a:extLst>
                  <a:ext uri="{FF2B5EF4-FFF2-40B4-BE49-F238E27FC236}">
                    <a16:creationId xmlns:a16="http://schemas.microsoft.com/office/drawing/2014/main" id="{DDF07707-8CF8-4EEC-B262-8C77372FF671}"/>
                  </a:ext>
                </a:extLst>
              </xdr:cNvPr>
              <xdr:cNvSpPr/>
            </xdr:nvSpPr>
            <xdr:spPr>
              <a:xfrm>
                <a:off x="4355976" y="3543360"/>
                <a:ext cx="1860176" cy="618246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pt-BR" i="0">
                    <a:solidFill>
                      <a:prstClr val="black"/>
                    </a:solidFill>
                    <a:latin typeface="Cambria Math" panose="02040503050406030204" pitchFamily="18" charset="0"/>
                  </a:rPr>
                  <a:t>Δ𝑥</a:t>
                </a:r>
                <a:r>
                  <a:rPr lang="pt-BR" b="0" i="0">
                    <a:solidFill>
                      <a:prstClr val="black"/>
                    </a:solidFill>
                    <a:latin typeface="Cambria Math" panose="02040503050406030204" pitchFamily="18" charset="0"/>
                  </a:rPr>
                  <a:t>=ℎ=  (𝑏 −𝑎)/𝑛</a:t>
                </a:r>
                <a:endParaRPr lang="pt-BR"/>
              </a:p>
            </xdr:txBody>
          </xdr:sp>
        </mc:Fallback>
      </mc:AlternateContent>
      <xdr:cxnSp macro="">
        <xdr:nvCxnSpPr>
          <xdr:cNvPr id="6" name="Conector: Angulado 5">
            <a:extLst>
              <a:ext uri="{FF2B5EF4-FFF2-40B4-BE49-F238E27FC236}">
                <a16:creationId xmlns:a16="http://schemas.microsoft.com/office/drawing/2014/main" id="{15F055B1-4DCD-403F-BCFC-41FF0798431F}"/>
              </a:ext>
            </a:extLst>
          </xdr:cNvPr>
          <xdr:cNvCxnSpPr>
            <a:cxnSpLocks/>
            <a:stCxn id="4" idx="2"/>
            <a:endCxn id="5" idx="1"/>
          </xdr:cNvCxnSpPr>
        </xdr:nvCxnSpPr>
        <xdr:spPr>
          <a:xfrm rot="16200000" flipH="1">
            <a:off x="3906600" y="3403106"/>
            <a:ext cx="648191" cy="250562"/>
          </a:xfrm>
          <a:prstGeom prst="bentConnector2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" name="Retângulo 6">
                <a:extLst>
                  <a:ext uri="{FF2B5EF4-FFF2-40B4-BE49-F238E27FC236}">
                    <a16:creationId xmlns:a16="http://schemas.microsoft.com/office/drawing/2014/main" id="{74F96BA4-5E54-4DAD-BF64-0E0E267D462F}"/>
                  </a:ext>
                </a:extLst>
              </xdr:cNvPr>
              <xdr:cNvSpPr/>
            </xdr:nvSpPr>
            <xdr:spPr>
              <a:xfrm>
                <a:off x="4355975" y="4243762"/>
                <a:ext cx="1486369" cy="369332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pt-BR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pt-BR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pt-BR" i="1">
                              <a:latin typeface="Cambria Math" panose="02040503050406030204" pitchFamily="18" charset="0"/>
                            </a:rPr>
                            <m:t>𝑖</m:t>
                          </m:r>
                        </m:sub>
                      </m:sSub>
                      <m:r>
                        <a:rPr lang="pt-BR" i="1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pt-BR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pt-BR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pt-BR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m:rPr>
                          <m:sty m:val="p"/>
                        </m:rPr>
                        <a:rPr lang="pt-BR">
                          <a:latin typeface="Cambria Math" panose="02040503050406030204" pitchFamily="18" charset="0"/>
                        </a:rPr>
                        <m:t>Δ</m:t>
                      </m:r>
                      <m:r>
                        <a:rPr lang="pt-BR" i="1">
                          <a:latin typeface="Cambria Math" panose="02040503050406030204" pitchFamily="18" charset="0"/>
                        </a:rPr>
                        <m:t>𝑥</m:t>
                      </m:r>
                    </m:oMath>
                  </m:oMathPara>
                </a14:m>
                <a:endParaRPr lang="pt-BR"/>
              </a:p>
            </xdr:txBody>
          </xdr:sp>
        </mc:Choice>
        <mc:Fallback>
          <xdr:sp macro="" textlink="">
            <xdr:nvSpPr>
              <xdr:cNvPr id="7" name="Retângulo 6">
                <a:extLst>
                  <a:ext uri="{FF2B5EF4-FFF2-40B4-BE49-F238E27FC236}">
                    <a16:creationId xmlns:a16="http://schemas.microsoft.com/office/drawing/2014/main" id="{74F96BA4-5E54-4DAD-BF64-0E0E267D462F}"/>
                  </a:ext>
                </a:extLst>
              </xdr:cNvPr>
              <xdr:cNvSpPr/>
            </xdr:nvSpPr>
            <xdr:spPr>
              <a:xfrm>
                <a:off x="4355975" y="4243762"/>
                <a:ext cx="1486369" cy="369332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txBody>
              <a:bodyPr wrap="square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pt-BR" i="0">
                    <a:latin typeface="Cambria Math" panose="02040503050406030204" pitchFamily="18" charset="0"/>
                  </a:rPr>
                  <a:t>𝑥_𝑖=𝑎+𝑖Δ𝑥</a:t>
                </a:r>
                <a:endParaRPr lang="pt-BR"/>
              </a:p>
            </xdr:txBody>
          </xdr:sp>
        </mc:Fallback>
      </mc:AlternateContent>
      <xdr:cxnSp macro="">
        <xdr:nvCxnSpPr>
          <xdr:cNvPr id="8" name="Conector: Angulado 7">
            <a:extLst>
              <a:ext uri="{FF2B5EF4-FFF2-40B4-BE49-F238E27FC236}">
                <a16:creationId xmlns:a16="http://schemas.microsoft.com/office/drawing/2014/main" id="{BFFAD523-758A-44CD-B812-0B60388742B9}"/>
              </a:ext>
            </a:extLst>
          </xdr:cNvPr>
          <xdr:cNvCxnSpPr>
            <a:cxnSpLocks/>
            <a:stCxn id="4" idx="2"/>
            <a:endCxn id="7" idx="1"/>
          </xdr:cNvCxnSpPr>
        </xdr:nvCxnSpPr>
        <xdr:spPr>
          <a:xfrm rot="16200000" flipH="1">
            <a:off x="3618626" y="3691079"/>
            <a:ext cx="1224136" cy="250561"/>
          </a:xfrm>
          <a:prstGeom prst="bentConnector2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461597</xdr:colOff>
      <xdr:row>2</xdr:row>
      <xdr:rowOff>183173</xdr:rowOff>
    </xdr:from>
    <xdr:ext cx="1533946" cy="3846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54A43B85-D972-4569-B237-0A7EB96B3A76}"/>
                </a:ext>
              </a:extLst>
            </xdr:cNvPr>
            <xdr:cNvSpPr txBox="1"/>
          </xdr:nvSpPr>
          <xdr:spPr>
            <a:xfrm>
              <a:off x="4110405" y="564173"/>
              <a:ext cx="1533946" cy="3846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pt-BR" sz="11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  <m:sup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  <m:e>
                        <m:f>
                          <m:fPr>
                            <m:ctrlPr>
                              <a:rPr lang="pt-BR" sz="1100" b="1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func>
                              <m:funcPr>
                                <m:ctrlPr>
                                  <a:rPr lang="pt-BR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a:rPr lang="pt-BR" sz="1100" b="1" i="0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𝐜𝐨𝐬</m:t>
                                </m:r>
                              </m:fName>
                              <m:e>
                                <m:r>
                                  <a:rPr lang="pt-BR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𝒙</m:t>
                                </m:r>
                              </m:e>
                            </m:func>
                          </m:num>
                          <m:den>
                            <m:r>
                              <a:rPr lang="pt-BR" sz="1100" b="1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pt-BR" sz="1100" b="1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pt-BR" sz="1100" b="1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𝒙</m:t>
                            </m:r>
                          </m:den>
                        </m:f>
                        <m: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𝒅𝒙</m:t>
                        </m:r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𝟎</m:t>
                        </m:r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𝟔𝟎𝟏𝟎𝟒</m:t>
                        </m:r>
                      </m:e>
                    </m:nary>
                  </m:oMath>
                </m:oMathPara>
              </a14:m>
              <a:endParaRPr lang="pt-BR" sz="1100" b="1"/>
            </a:p>
          </xdr:txBody>
        </xdr:sp>
      </mc:Choice>
      <mc:Fallback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54A43B85-D972-4569-B237-0A7EB96B3A76}"/>
                </a:ext>
              </a:extLst>
            </xdr:cNvPr>
            <xdr:cNvSpPr txBox="1"/>
          </xdr:nvSpPr>
          <xdr:spPr>
            <a:xfrm>
              <a:off x="4110405" y="564173"/>
              <a:ext cx="1533946" cy="3846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1" i="0">
                  <a:latin typeface="Cambria Math" panose="02040503050406030204" pitchFamily="18" charset="0"/>
                </a:rPr>
                <a:t>∫_𝟎^𝟏▒〖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𝐜𝐨𝐬⁡𝒙/(𝟏+𝒙)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pt-BR" sz="1100" b="1" i="0">
                  <a:latin typeface="Cambria Math" panose="02040503050406030204" pitchFamily="18" charset="0"/>
                </a:rPr>
                <a:t>𝒅𝒙=𝟎,𝟔𝟎𝟏𝟎𝟒〗</a:t>
              </a:r>
              <a:endParaRPr lang="pt-BR" sz="1100" b="1"/>
            </a:p>
          </xdr:txBody>
        </xdr:sp>
      </mc:Fallback>
    </mc:AlternateContent>
    <xdr:clientData/>
  </xdr:oneCellAnchor>
  <xdr:oneCellAnchor>
    <xdr:from>
      <xdr:col>2</xdr:col>
      <xdr:colOff>601541</xdr:colOff>
      <xdr:row>3</xdr:row>
      <xdr:rowOff>66675</xdr:rowOff>
    </xdr:from>
    <xdr:ext cx="633828" cy="29514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6312EC7-4902-4D3E-BE08-72C2BC13F6FC}"/>
                </a:ext>
              </a:extLst>
            </xdr:cNvPr>
            <xdr:cNvSpPr txBox="1"/>
          </xdr:nvSpPr>
          <xdr:spPr>
            <a:xfrm>
              <a:off x="1817810" y="638175"/>
              <a:ext cx="633828" cy="295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1" i="1">
                        <a:latin typeface="Cambria Math" panose="02040503050406030204" pitchFamily="18" charset="0"/>
                      </a:rPr>
                      <m:t>𝒚</m:t>
                    </m:r>
                    <m:r>
                      <a:rPr lang="pt-BR" sz="11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t-BR" sz="1100" b="1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a:rPr lang="pt-BR" sz="1100" b="1" i="0">
                                <a:latin typeface="Cambria Math" panose="02040503050406030204" pitchFamily="18" charset="0"/>
                              </a:rPr>
                              <m:t>𝐜𝐨𝐬</m:t>
                            </m:r>
                          </m:fName>
                          <m:e>
                            <m:r>
                              <a:rPr lang="pt-BR" sz="1100" b="1" i="1">
                                <a:latin typeface="Cambria Math" panose="02040503050406030204" pitchFamily="18" charset="0"/>
                              </a:rPr>
                              <m:t>𝒙</m:t>
                            </m:r>
                          </m:e>
                        </m:func>
                      </m:num>
                      <m:den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𝒙</m:t>
                        </m:r>
                      </m:den>
                    </m:f>
                  </m:oMath>
                </m:oMathPara>
              </a14:m>
              <a:endParaRPr lang="pt-BR" sz="1100" b="1"/>
            </a:p>
          </xdr:txBody>
        </xdr:sp>
      </mc:Choice>
      <mc:Fallback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6312EC7-4902-4D3E-BE08-72C2BC13F6FC}"/>
                </a:ext>
              </a:extLst>
            </xdr:cNvPr>
            <xdr:cNvSpPr txBox="1"/>
          </xdr:nvSpPr>
          <xdr:spPr>
            <a:xfrm>
              <a:off x="1817810" y="638175"/>
              <a:ext cx="633828" cy="295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1" i="0">
                  <a:latin typeface="Cambria Math" panose="02040503050406030204" pitchFamily="18" charset="0"/>
                </a:rPr>
                <a:t>𝒚=𝐜𝐨𝐬⁡𝒙/(𝟏+𝒙)</a:t>
              </a:r>
              <a:endParaRPr lang="pt-BR" sz="1100" b="1"/>
            </a:p>
          </xdr:txBody>
        </xdr:sp>
      </mc:Fallback>
    </mc:AlternateContent>
    <xdr:clientData/>
  </xdr:oneCellAnchor>
  <xdr:twoCellAnchor editAs="oneCell">
    <xdr:from>
      <xdr:col>10</xdr:col>
      <xdr:colOff>101199</xdr:colOff>
      <xdr:row>0</xdr:row>
      <xdr:rowOff>58616</xdr:rowOff>
    </xdr:from>
    <xdr:to>
      <xdr:col>13</xdr:col>
      <xdr:colOff>43960</xdr:colOff>
      <xdr:row>11</xdr:row>
      <xdr:rowOff>36259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36577C9-3AA2-4F32-8595-2E2B25235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2545" y="58616"/>
          <a:ext cx="1767165" cy="210977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9</xdr:col>
      <xdr:colOff>21980</xdr:colOff>
      <xdr:row>4</xdr:row>
      <xdr:rowOff>102577</xdr:rowOff>
    </xdr:from>
    <xdr:to>
      <xdr:col>10</xdr:col>
      <xdr:colOff>219808</xdr:colOff>
      <xdr:row>10</xdr:row>
      <xdr:rowOff>29307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6D327FF6-7783-4894-BC3C-C6D20B0FF89C}"/>
            </a:ext>
          </a:extLst>
        </xdr:cNvPr>
        <xdr:cNvCxnSpPr/>
      </xdr:nvCxnSpPr>
      <xdr:spPr>
        <a:xfrm>
          <a:off x="5495192" y="901212"/>
          <a:ext cx="805962" cy="10697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6D1D-3D56-4FA8-984E-A9B30B6D5DEE}">
  <dimension ref="A1:Q120"/>
  <sheetViews>
    <sheetView showGridLines="0" tabSelected="1" zoomScale="130" zoomScaleNormal="130" workbookViewId="0">
      <pane ySplit="13" topLeftCell="A14" activePane="bottomLeft" state="frozen"/>
      <selection pane="bottomLeft" activeCell="J8" sqref="J8"/>
    </sheetView>
  </sheetViews>
  <sheetFormatPr defaultRowHeight="15" x14ac:dyDescent="0.25"/>
  <sheetData>
    <row r="1" spans="1:17" x14ac:dyDescent="0.25">
      <c r="A1" s="3" t="s">
        <v>0</v>
      </c>
    </row>
    <row r="2" spans="1:17" x14ac:dyDescent="0.25">
      <c r="A2" s="3"/>
    </row>
    <row r="3" spans="1:17" x14ac:dyDescent="0.25">
      <c r="A3" s="36" t="s">
        <v>21</v>
      </c>
    </row>
    <row r="4" spans="1:17" ht="18" customHeight="1" x14ac:dyDescent="0.25">
      <c r="A4" s="13" t="s">
        <v>1</v>
      </c>
      <c r="B4" s="14">
        <v>0</v>
      </c>
      <c r="C4" s="37" t="s">
        <v>20</v>
      </c>
      <c r="D4" s="1"/>
      <c r="E4" s="37" t="s">
        <v>19</v>
      </c>
      <c r="F4" s="37">
        <f>1/3</f>
        <v>0.33333333333333331</v>
      </c>
    </row>
    <row r="5" spans="1:17" x14ac:dyDescent="0.25">
      <c r="A5" s="13" t="s">
        <v>2</v>
      </c>
      <c r="B5" s="14">
        <v>1</v>
      </c>
      <c r="C5" s="37"/>
      <c r="D5" s="1"/>
      <c r="E5" s="37"/>
      <c r="F5" s="37"/>
    </row>
    <row r="7" spans="1:17" x14ac:dyDescent="0.25">
      <c r="A7" s="15" t="s">
        <v>3</v>
      </c>
      <c r="B7" s="16">
        <v>5</v>
      </c>
      <c r="C7" s="16">
        <v>10</v>
      </c>
      <c r="D7" s="16">
        <v>100</v>
      </c>
    </row>
    <row r="8" spans="1:17" x14ac:dyDescent="0.25">
      <c r="A8" s="4" t="s">
        <v>7</v>
      </c>
      <c r="B8" s="8">
        <f>($B$5-$B$4)/B7</f>
        <v>0.2</v>
      </c>
      <c r="C8" s="8">
        <f t="shared" ref="C8:D8" si="0">($B$5-$B$4)/C7</f>
        <v>0.1</v>
      </c>
      <c r="D8" s="8">
        <f t="shared" si="0"/>
        <v>0.01</v>
      </c>
    </row>
    <row r="9" spans="1:17" x14ac:dyDescent="0.25">
      <c r="A9" s="4"/>
      <c r="B9" s="8"/>
      <c r="C9" s="8"/>
      <c r="D9" s="8"/>
    </row>
    <row r="10" spans="1:17" x14ac:dyDescent="0.25">
      <c r="A10" s="17" t="s">
        <v>18</v>
      </c>
      <c r="B10" s="18">
        <f>E20</f>
        <v>0.32000000000000023</v>
      </c>
      <c r="C10" s="18">
        <f>K25</f>
        <v>0.15500000000000042</v>
      </c>
      <c r="D10" s="18">
        <f>Q115</f>
        <v>1.5050000000000507E-2</v>
      </c>
    </row>
    <row r="12" spans="1:17" x14ac:dyDescent="0.25">
      <c r="A12" s="12" t="s">
        <v>15</v>
      </c>
      <c r="G12" s="12" t="s">
        <v>16</v>
      </c>
      <c r="M12" s="12" t="s">
        <v>17</v>
      </c>
    </row>
    <row r="13" spans="1:17" s="6" customFormat="1" ht="15.75" thickBot="1" x14ac:dyDescent="0.3">
      <c r="A13" s="5" t="s">
        <v>4</v>
      </c>
      <c r="B13" s="5" t="s">
        <v>5</v>
      </c>
      <c r="C13" s="5" t="s">
        <v>6</v>
      </c>
      <c r="D13" s="5" t="s">
        <v>8</v>
      </c>
      <c r="E13" s="5" t="s">
        <v>10</v>
      </c>
      <c r="G13" s="5" t="s">
        <v>4</v>
      </c>
      <c r="H13" s="5" t="s">
        <v>5</v>
      </c>
      <c r="I13" s="5" t="s">
        <v>6</v>
      </c>
      <c r="J13" s="5" t="s">
        <v>8</v>
      </c>
      <c r="K13" s="5" t="s">
        <v>10</v>
      </c>
      <c r="M13" s="5" t="s">
        <v>4</v>
      </c>
      <c r="N13" s="5" t="s">
        <v>5</v>
      </c>
      <c r="O13" s="5" t="s">
        <v>6</v>
      </c>
      <c r="P13" s="5" t="s">
        <v>8</v>
      </c>
      <c r="Q13" s="5" t="s">
        <v>10</v>
      </c>
    </row>
    <row r="14" spans="1:17" x14ac:dyDescent="0.25">
      <c r="A14" s="20">
        <v>0</v>
      </c>
      <c r="B14" s="21">
        <f>$B$4+A14*$B$8</f>
        <v>0</v>
      </c>
      <c r="C14" s="21">
        <f>B14^2</f>
        <v>0</v>
      </c>
      <c r="D14" s="21">
        <f t="shared" ref="D14:D19" si="1">C14*$B$8</f>
        <v>0</v>
      </c>
      <c r="E14" s="22"/>
      <c r="G14" s="20">
        <v>0</v>
      </c>
      <c r="H14" s="21">
        <f>$B$4+G14*$C$8</f>
        <v>0</v>
      </c>
      <c r="I14" s="21">
        <f>H14^2</f>
        <v>0</v>
      </c>
      <c r="J14" s="21">
        <f>I14*$C$8</f>
        <v>0</v>
      </c>
      <c r="K14" s="22"/>
      <c r="M14" s="20">
        <v>0</v>
      </c>
      <c r="N14" s="21">
        <f>$B$4+M14*$D$8</f>
        <v>0</v>
      </c>
      <c r="O14" s="21">
        <f>N14^2</f>
        <v>0</v>
      </c>
      <c r="P14" s="21">
        <f>O14*$D$8</f>
        <v>0</v>
      </c>
      <c r="Q14" s="22"/>
    </row>
    <row r="15" spans="1:17" x14ac:dyDescent="0.25">
      <c r="A15" s="23">
        <v>1</v>
      </c>
      <c r="B15" s="24">
        <f t="shared" ref="B15:B19" si="2">$B$4+A15*$B$8</f>
        <v>0.2</v>
      </c>
      <c r="C15" s="24">
        <f>B15^2</f>
        <v>4.0000000000000008E-2</v>
      </c>
      <c r="D15" s="24">
        <f t="shared" si="1"/>
        <v>8.0000000000000019E-3</v>
      </c>
      <c r="E15" s="25"/>
      <c r="G15" s="23">
        <v>1</v>
      </c>
      <c r="H15" s="24">
        <f>$B$4+G15*$C$8</f>
        <v>0.1</v>
      </c>
      <c r="I15" s="24">
        <f>H15^2</f>
        <v>1.0000000000000002E-2</v>
      </c>
      <c r="J15" s="24">
        <f>I15*$C$8</f>
        <v>1.0000000000000002E-3</v>
      </c>
      <c r="K15" s="25"/>
      <c r="M15" s="23">
        <v>1</v>
      </c>
      <c r="N15" s="29">
        <f t="shared" ref="N15:N78" si="3">$B$4+M15*$D$8</f>
        <v>0.01</v>
      </c>
      <c r="O15" s="29">
        <f t="shared" ref="O15:O78" si="4">N15^2</f>
        <v>1E-4</v>
      </c>
      <c r="P15" s="29">
        <f t="shared" ref="P15:P78" si="5">O15*$D$8</f>
        <v>1.0000000000000002E-6</v>
      </c>
      <c r="Q15" s="25"/>
    </row>
    <row r="16" spans="1:17" x14ac:dyDescent="0.25">
      <c r="A16" s="23">
        <v>2</v>
      </c>
      <c r="B16" s="24">
        <f t="shared" si="2"/>
        <v>0.4</v>
      </c>
      <c r="C16" s="24">
        <f>B16^2</f>
        <v>0.16000000000000003</v>
      </c>
      <c r="D16" s="24">
        <f t="shared" si="1"/>
        <v>3.2000000000000008E-2</v>
      </c>
      <c r="E16" s="25"/>
      <c r="G16" s="23">
        <v>2</v>
      </c>
      <c r="H16" s="24">
        <f t="shared" ref="H16:H24" si="6">$B$4+G16*$C$8</f>
        <v>0.2</v>
      </c>
      <c r="I16" s="24">
        <f>H16^2</f>
        <v>4.0000000000000008E-2</v>
      </c>
      <c r="J16" s="24">
        <f t="shared" ref="J16:J24" si="7">I16*$C$8</f>
        <v>4.000000000000001E-3</v>
      </c>
      <c r="K16" s="25"/>
      <c r="M16" s="23">
        <v>2</v>
      </c>
      <c r="N16" s="29">
        <f t="shared" si="3"/>
        <v>0.02</v>
      </c>
      <c r="O16" s="29">
        <f t="shared" si="4"/>
        <v>4.0000000000000002E-4</v>
      </c>
      <c r="P16" s="29">
        <f t="shared" si="5"/>
        <v>4.0000000000000007E-6</v>
      </c>
      <c r="Q16" s="25"/>
    </row>
    <row r="17" spans="1:17" x14ac:dyDescent="0.25">
      <c r="A17" s="23">
        <v>3</v>
      </c>
      <c r="B17" s="24">
        <f t="shared" si="2"/>
        <v>0.60000000000000009</v>
      </c>
      <c r="C17" s="24">
        <f>B17^2</f>
        <v>0.3600000000000001</v>
      </c>
      <c r="D17" s="24">
        <f t="shared" si="1"/>
        <v>7.2000000000000022E-2</v>
      </c>
      <c r="E17" s="25"/>
      <c r="G17" s="23">
        <v>3</v>
      </c>
      <c r="H17" s="24">
        <f t="shared" si="6"/>
        <v>0.30000000000000004</v>
      </c>
      <c r="I17" s="24">
        <f>H17^2</f>
        <v>9.0000000000000024E-2</v>
      </c>
      <c r="J17" s="24">
        <f t="shared" si="7"/>
        <v>9.0000000000000028E-3</v>
      </c>
      <c r="K17" s="25"/>
      <c r="M17" s="23">
        <v>3</v>
      </c>
      <c r="N17" s="29">
        <f t="shared" si="3"/>
        <v>0.03</v>
      </c>
      <c r="O17" s="29">
        <f t="shared" si="4"/>
        <v>8.9999999999999998E-4</v>
      </c>
      <c r="P17" s="29">
        <f t="shared" si="5"/>
        <v>9.0000000000000002E-6</v>
      </c>
      <c r="Q17" s="25"/>
    </row>
    <row r="18" spans="1:17" x14ac:dyDescent="0.25">
      <c r="A18" s="23">
        <v>4</v>
      </c>
      <c r="B18" s="24">
        <f t="shared" si="2"/>
        <v>0.8</v>
      </c>
      <c r="C18" s="24">
        <f>B18^2</f>
        <v>0.64000000000000012</v>
      </c>
      <c r="D18" s="24">
        <f t="shared" si="1"/>
        <v>0.12800000000000003</v>
      </c>
      <c r="E18" s="25"/>
      <c r="G18" s="23">
        <v>4</v>
      </c>
      <c r="H18" s="24">
        <f t="shared" si="6"/>
        <v>0.4</v>
      </c>
      <c r="I18" s="24">
        <f>H18^2</f>
        <v>0.16000000000000003</v>
      </c>
      <c r="J18" s="24">
        <f t="shared" si="7"/>
        <v>1.6000000000000004E-2</v>
      </c>
      <c r="K18" s="25"/>
      <c r="M18" s="23">
        <v>4</v>
      </c>
      <c r="N18" s="29">
        <f t="shared" si="3"/>
        <v>0.04</v>
      </c>
      <c r="O18" s="29">
        <f t="shared" si="4"/>
        <v>1.6000000000000001E-3</v>
      </c>
      <c r="P18" s="29">
        <f t="shared" si="5"/>
        <v>1.6000000000000003E-5</v>
      </c>
      <c r="Q18" s="25"/>
    </row>
    <row r="19" spans="1:17" ht="15.75" thickBot="1" x14ac:dyDescent="0.3">
      <c r="A19" s="26">
        <v>5</v>
      </c>
      <c r="B19" s="27">
        <f t="shared" si="2"/>
        <v>1</v>
      </c>
      <c r="C19" s="27">
        <f t="shared" ref="C19" si="8">B19^2</f>
        <v>1</v>
      </c>
      <c r="D19" s="27">
        <f t="shared" si="1"/>
        <v>0.2</v>
      </c>
      <c r="E19" s="28"/>
      <c r="G19" s="23">
        <v>5</v>
      </c>
      <c r="H19" s="24">
        <f t="shared" si="6"/>
        <v>0.5</v>
      </c>
      <c r="I19" s="24">
        <f t="shared" ref="I19:I24" si="9">H19^2</f>
        <v>0.25</v>
      </c>
      <c r="J19" s="24">
        <f t="shared" si="7"/>
        <v>2.5000000000000001E-2</v>
      </c>
      <c r="K19" s="25"/>
      <c r="M19" s="23">
        <v>5</v>
      </c>
      <c r="N19" s="29">
        <f t="shared" si="3"/>
        <v>0.05</v>
      </c>
      <c r="O19" s="29">
        <f t="shared" si="4"/>
        <v>2.5000000000000005E-3</v>
      </c>
      <c r="P19" s="29">
        <f t="shared" si="5"/>
        <v>2.5000000000000005E-5</v>
      </c>
      <c r="Q19" s="25"/>
    </row>
    <row r="20" spans="1:17" x14ac:dyDescent="0.25">
      <c r="C20" s="7" t="s">
        <v>9</v>
      </c>
      <c r="D20" s="8">
        <f>SUM(D14:D19)</f>
        <v>0.44000000000000006</v>
      </c>
      <c r="E20" s="9">
        <f>ABS($F$4-D20)/$F$4</f>
        <v>0.32000000000000023</v>
      </c>
      <c r="G20" s="23">
        <v>6</v>
      </c>
      <c r="H20" s="24">
        <f t="shared" si="6"/>
        <v>0.60000000000000009</v>
      </c>
      <c r="I20" s="24">
        <f t="shared" si="9"/>
        <v>0.3600000000000001</v>
      </c>
      <c r="J20" s="24">
        <f t="shared" si="7"/>
        <v>3.6000000000000011E-2</v>
      </c>
      <c r="K20" s="25"/>
      <c r="M20" s="23">
        <v>6</v>
      </c>
      <c r="N20" s="29">
        <f t="shared" si="3"/>
        <v>0.06</v>
      </c>
      <c r="O20" s="29">
        <f t="shared" si="4"/>
        <v>3.5999999999999999E-3</v>
      </c>
      <c r="P20" s="29">
        <f t="shared" si="5"/>
        <v>3.6000000000000001E-5</v>
      </c>
      <c r="Q20" s="25"/>
    </row>
    <row r="21" spans="1:17" x14ac:dyDescent="0.25">
      <c r="G21" s="23">
        <v>7</v>
      </c>
      <c r="H21" s="24">
        <f t="shared" si="6"/>
        <v>0.70000000000000007</v>
      </c>
      <c r="I21" s="24">
        <f t="shared" si="9"/>
        <v>0.4900000000000001</v>
      </c>
      <c r="J21" s="24">
        <f t="shared" si="7"/>
        <v>4.9000000000000016E-2</v>
      </c>
      <c r="K21" s="25"/>
      <c r="M21" s="23">
        <v>7</v>
      </c>
      <c r="N21" s="29">
        <f t="shared" si="3"/>
        <v>7.0000000000000007E-2</v>
      </c>
      <c r="O21" s="29">
        <f t="shared" si="4"/>
        <v>4.9000000000000007E-3</v>
      </c>
      <c r="P21" s="29">
        <f t="shared" si="5"/>
        <v>4.9000000000000005E-5</v>
      </c>
      <c r="Q21" s="25"/>
    </row>
    <row r="22" spans="1:17" x14ac:dyDescent="0.25">
      <c r="G22" s="23">
        <v>8</v>
      </c>
      <c r="H22" s="24">
        <f t="shared" si="6"/>
        <v>0.8</v>
      </c>
      <c r="I22" s="24">
        <f t="shared" si="9"/>
        <v>0.64000000000000012</v>
      </c>
      <c r="J22" s="24">
        <f t="shared" si="7"/>
        <v>6.4000000000000015E-2</v>
      </c>
      <c r="K22" s="25"/>
      <c r="M22" s="23">
        <v>8</v>
      </c>
      <c r="N22" s="29">
        <f t="shared" si="3"/>
        <v>0.08</v>
      </c>
      <c r="O22" s="29">
        <f t="shared" si="4"/>
        <v>6.4000000000000003E-3</v>
      </c>
      <c r="P22" s="29">
        <f t="shared" si="5"/>
        <v>6.4000000000000011E-5</v>
      </c>
      <c r="Q22" s="25"/>
    </row>
    <row r="23" spans="1:17" x14ac:dyDescent="0.25">
      <c r="G23" s="23">
        <v>9</v>
      </c>
      <c r="H23" s="24">
        <f t="shared" si="6"/>
        <v>0.9</v>
      </c>
      <c r="I23" s="24">
        <f t="shared" si="9"/>
        <v>0.81</v>
      </c>
      <c r="J23" s="24">
        <f t="shared" si="7"/>
        <v>8.1000000000000016E-2</v>
      </c>
      <c r="K23" s="25"/>
      <c r="M23" s="23">
        <v>9</v>
      </c>
      <c r="N23" s="29">
        <f t="shared" si="3"/>
        <v>0.09</v>
      </c>
      <c r="O23" s="29">
        <f t="shared" si="4"/>
        <v>8.0999999999999996E-3</v>
      </c>
      <c r="P23" s="29">
        <f t="shared" si="5"/>
        <v>8.1000000000000004E-5</v>
      </c>
      <c r="Q23" s="25"/>
    </row>
    <row r="24" spans="1:17" ht="15.75" thickBot="1" x14ac:dyDescent="0.3">
      <c r="G24" s="26">
        <v>10</v>
      </c>
      <c r="H24" s="27">
        <f t="shared" si="6"/>
        <v>1</v>
      </c>
      <c r="I24" s="27">
        <f t="shared" si="9"/>
        <v>1</v>
      </c>
      <c r="J24" s="27">
        <f t="shared" si="7"/>
        <v>0.1</v>
      </c>
      <c r="K24" s="28"/>
      <c r="M24" s="23">
        <v>10</v>
      </c>
      <c r="N24" s="29">
        <f t="shared" si="3"/>
        <v>0.1</v>
      </c>
      <c r="O24" s="29">
        <f t="shared" si="4"/>
        <v>1.0000000000000002E-2</v>
      </c>
      <c r="P24" s="29">
        <f t="shared" si="5"/>
        <v>1.0000000000000002E-4</v>
      </c>
      <c r="Q24" s="25"/>
    </row>
    <row r="25" spans="1:17" x14ac:dyDescent="0.25">
      <c r="I25" s="7" t="s">
        <v>9</v>
      </c>
      <c r="J25" s="8">
        <f>SUM(J14:J24)</f>
        <v>0.38500000000000012</v>
      </c>
      <c r="K25" s="9">
        <f>ABS($F$4-J25)/$F$4</f>
        <v>0.15500000000000042</v>
      </c>
      <c r="M25" s="23">
        <v>11</v>
      </c>
      <c r="N25" s="29">
        <f t="shared" si="3"/>
        <v>0.11</v>
      </c>
      <c r="O25" s="29">
        <f t="shared" si="4"/>
        <v>1.21E-2</v>
      </c>
      <c r="P25" s="29">
        <f t="shared" si="5"/>
        <v>1.21E-4</v>
      </c>
      <c r="Q25" s="25"/>
    </row>
    <row r="26" spans="1:17" x14ac:dyDescent="0.25">
      <c r="M26" s="23">
        <v>12</v>
      </c>
      <c r="N26" s="29">
        <f t="shared" si="3"/>
        <v>0.12</v>
      </c>
      <c r="O26" s="29">
        <f t="shared" si="4"/>
        <v>1.44E-2</v>
      </c>
      <c r="P26" s="29">
        <f t="shared" si="5"/>
        <v>1.44E-4</v>
      </c>
      <c r="Q26" s="25"/>
    </row>
    <row r="27" spans="1:17" x14ac:dyDescent="0.25">
      <c r="M27" s="23">
        <v>13</v>
      </c>
      <c r="N27" s="29">
        <f t="shared" si="3"/>
        <v>0.13</v>
      </c>
      <c r="O27" s="29">
        <f t="shared" si="4"/>
        <v>1.6900000000000002E-2</v>
      </c>
      <c r="P27" s="29">
        <f t="shared" si="5"/>
        <v>1.6900000000000002E-4</v>
      </c>
      <c r="Q27" s="25"/>
    </row>
    <row r="28" spans="1:17" x14ac:dyDescent="0.25">
      <c r="A28" s="3" t="s">
        <v>11</v>
      </c>
      <c r="M28" s="23">
        <v>14</v>
      </c>
      <c r="N28" s="29">
        <f t="shared" si="3"/>
        <v>0.14000000000000001</v>
      </c>
      <c r="O28" s="29">
        <f t="shared" si="4"/>
        <v>1.9600000000000003E-2</v>
      </c>
      <c r="P28" s="29">
        <f t="shared" si="5"/>
        <v>1.9600000000000002E-4</v>
      </c>
      <c r="Q28" s="25"/>
    </row>
    <row r="29" spans="1:17" x14ac:dyDescent="0.25">
      <c r="M29" s="23">
        <v>15</v>
      </c>
      <c r="N29" s="29">
        <f t="shared" si="3"/>
        <v>0.15</v>
      </c>
      <c r="O29" s="29">
        <f t="shared" si="4"/>
        <v>2.2499999999999999E-2</v>
      </c>
      <c r="P29" s="29">
        <f t="shared" si="5"/>
        <v>2.2499999999999999E-4</v>
      </c>
      <c r="Q29" s="25"/>
    </row>
    <row r="30" spans="1:17" x14ac:dyDescent="0.25">
      <c r="M30" s="23">
        <v>16</v>
      </c>
      <c r="N30" s="29">
        <f t="shared" si="3"/>
        <v>0.16</v>
      </c>
      <c r="O30" s="29">
        <f t="shared" si="4"/>
        <v>2.5600000000000001E-2</v>
      </c>
      <c r="P30" s="29">
        <f t="shared" si="5"/>
        <v>2.5600000000000004E-4</v>
      </c>
      <c r="Q30" s="25"/>
    </row>
    <row r="31" spans="1:17" x14ac:dyDescent="0.25">
      <c r="M31" s="23">
        <v>17</v>
      </c>
      <c r="N31" s="29">
        <f t="shared" si="3"/>
        <v>0.17</v>
      </c>
      <c r="O31" s="29">
        <f t="shared" si="4"/>
        <v>2.8900000000000006E-2</v>
      </c>
      <c r="P31" s="29">
        <f t="shared" si="5"/>
        <v>2.8900000000000009E-4</v>
      </c>
      <c r="Q31" s="25"/>
    </row>
    <row r="32" spans="1:17" x14ac:dyDescent="0.25">
      <c r="M32" s="23">
        <v>18</v>
      </c>
      <c r="N32" s="29">
        <f t="shared" si="3"/>
        <v>0.18</v>
      </c>
      <c r="O32" s="29">
        <f t="shared" si="4"/>
        <v>3.2399999999999998E-2</v>
      </c>
      <c r="P32" s="29">
        <f t="shared" si="5"/>
        <v>3.2400000000000001E-4</v>
      </c>
      <c r="Q32" s="25"/>
    </row>
    <row r="33" spans="13:17" x14ac:dyDescent="0.25">
      <c r="M33" s="23">
        <v>19</v>
      </c>
      <c r="N33" s="29">
        <f t="shared" si="3"/>
        <v>0.19</v>
      </c>
      <c r="O33" s="29">
        <f t="shared" si="4"/>
        <v>3.61E-2</v>
      </c>
      <c r="P33" s="29">
        <f t="shared" si="5"/>
        <v>3.6099999999999999E-4</v>
      </c>
      <c r="Q33" s="25"/>
    </row>
    <row r="34" spans="13:17" x14ac:dyDescent="0.25">
      <c r="M34" s="23">
        <v>20</v>
      </c>
      <c r="N34" s="29">
        <f t="shared" si="3"/>
        <v>0.2</v>
      </c>
      <c r="O34" s="29">
        <f t="shared" si="4"/>
        <v>4.0000000000000008E-2</v>
      </c>
      <c r="P34" s="29">
        <f t="shared" si="5"/>
        <v>4.0000000000000007E-4</v>
      </c>
      <c r="Q34" s="25"/>
    </row>
    <row r="35" spans="13:17" x14ac:dyDescent="0.25">
      <c r="M35" s="23">
        <v>21</v>
      </c>
      <c r="N35" s="29">
        <f t="shared" si="3"/>
        <v>0.21</v>
      </c>
      <c r="O35" s="29">
        <f t="shared" si="4"/>
        <v>4.4099999999999993E-2</v>
      </c>
      <c r="P35" s="29">
        <f t="shared" si="5"/>
        <v>4.4099999999999993E-4</v>
      </c>
      <c r="Q35" s="25"/>
    </row>
    <row r="36" spans="13:17" x14ac:dyDescent="0.25">
      <c r="M36" s="23">
        <v>22</v>
      </c>
      <c r="N36" s="29">
        <f t="shared" si="3"/>
        <v>0.22</v>
      </c>
      <c r="O36" s="29">
        <f t="shared" si="4"/>
        <v>4.8399999999999999E-2</v>
      </c>
      <c r="P36" s="29">
        <f t="shared" si="5"/>
        <v>4.84E-4</v>
      </c>
      <c r="Q36" s="25"/>
    </row>
    <row r="37" spans="13:17" x14ac:dyDescent="0.25">
      <c r="M37" s="23">
        <v>23</v>
      </c>
      <c r="N37" s="29">
        <f t="shared" si="3"/>
        <v>0.23</v>
      </c>
      <c r="O37" s="29">
        <f t="shared" si="4"/>
        <v>5.2900000000000003E-2</v>
      </c>
      <c r="P37" s="29">
        <f t="shared" si="5"/>
        <v>5.2900000000000006E-4</v>
      </c>
      <c r="Q37" s="25"/>
    </row>
    <row r="38" spans="13:17" x14ac:dyDescent="0.25">
      <c r="M38" s="23">
        <v>24</v>
      </c>
      <c r="N38" s="29">
        <f t="shared" si="3"/>
        <v>0.24</v>
      </c>
      <c r="O38" s="29">
        <f t="shared" si="4"/>
        <v>5.7599999999999998E-2</v>
      </c>
      <c r="P38" s="29">
        <f t="shared" si="5"/>
        <v>5.7600000000000001E-4</v>
      </c>
      <c r="Q38" s="25"/>
    </row>
    <row r="39" spans="13:17" x14ac:dyDescent="0.25">
      <c r="M39" s="23">
        <v>25</v>
      </c>
      <c r="N39" s="29">
        <f t="shared" si="3"/>
        <v>0.25</v>
      </c>
      <c r="O39" s="29">
        <f t="shared" si="4"/>
        <v>6.25E-2</v>
      </c>
      <c r="P39" s="29">
        <f t="shared" si="5"/>
        <v>6.2500000000000001E-4</v>
      </c>
      <c r="Q39" s="25"/>
    </row>
    <row r="40" spans="13:17" x14ac:dyDescent="0.25">
      <c r="M40" s="23">
        <v>26</v>
      </c>
      <c r="N40" s="29">
        <f t="shared" si="3"/>
        <v>0.26</v>
      </c>
      <c r="O40" s="29">
        <f t="shared" si="4"/>
        <v>6.7600000000000007E-2</v>
      </c>
      <c r="P40" s="29">
        <f t="shared" si="5"/>
        <v>6.7600000000000006E-4</v>
      </c>
      <c r="Q40" s="25"/>
    </row>
    <row r="41" spans="13:17" x14ac:dyDescent="0.25">
      <c r="M41" s="23">
        <v>27</v>
      </c>
      <c r="N41" s="29">
        <f t="shared" si="3"/>
        <v>0.27</v>
      </c>
      <c r="O41" s="29">
        <f t="shared" si="4"/>
        <v>7.2900000000000006E-2</v>
      </c>
      <c r="P41" s="29">
        <f t="shared" si="5"/>
        <v>7.2900000000000005E-4</v>
      </c>
      <c r="Q41" s="25"/>
    </row>
    <row r="42" spans="13:17" x14ac:dyDescent="0.25">
      <c r="M42" s="23">
        <v>28</v>
      </c>
      <c r="N42" s="29">
        <f t="shared" si="3"/>
        <v>0.28000000000000003</v>
      </c>
      <c r="O42" s="29">
        <f t="shared" si="4"/>
        <v>7.8400000000000011E-2</v>
      </c>
      <c r="P42" s="29">
        <f t="shared" si="5"/>
        <v>7.8400000000000008E-4</v>
      </c>
      <c r="Q42" s="25"/>
    </row>
    <row r="43" spans="13:17" x14ac:dyDescent="0.25">
      <c r="M43" s="23">
        <v>29</v>
      </c>
      <c r="N43" s="29">
        <f t="shared" si="3"/>
        <v>0.28999999999999998</v>
      </c>
      <c r="O43" s="29">
        <f t="shared" si="4"/>
        <v>8.4099999999999994E-2</v>
      </c>
      <c r="P43" s="29">
        <f t="shared" si="5"/>
        <v>8.4099999999999995E-4</v>
      </c>
      <c r="Q43" s="25"/>
    </row>
    <row r="44" spans="13:17" x14ac:dyDescent="0.25">
      <c r="M44" s="23">
        <v>30</v>
      </c>
      <c r="N44" s="29">
        <f t="shared" si="3"/>
        <v>0.3</v>
      </c>
      <c r="O44" s="29">
        <f t="shared" si="4"/>
        <v>0.09</v>
      </c>
      <c r="P44" s="29">
        <f t="shared" si="5"/>
        <v>8.9999999999999998E-4</v>
      </c>
      <c r="Q44" s="25"/>
    </row>
    <row r="45" spans="13:17" x14ac:dyDescent="0.25">
      <c r="M45" s="23">
        <v>31</v>
      </c>
      <c r="N45" s="29">
        <f t="shared" si="3"/>
        <v>0.31</v>
      </c>
      <c r="O45" s="29">
        <f t="shared" si="4"/>
        <v>9.6100000000000005E-2</v>
      </c>
      <c r="P45" s="29">
        <f t="shared" si="5"/>
        <v>9.6100000000000005E-4</v>
      </c>
      <c r="Q45" s="25"/>
    </row>
    <row r="46" spans="13:17" x14ac:dyDescent="0.25">
      <c r="M46" s="23">
        <v>32</v>
      </c>
      <c r="N46" s="29">
        <f t="shared" si="3"/>
        <v>0.32</v>
      </c>
      <c r="O46" s="29">
        <f t="shared" si="4"/>
        <v>0.1024</v>
      </c>
      <c r="P46" s="29">
        <f t="shared" si="5"/>
        <v>1.0240000000000002E-3</v>
      </c>
      <c r="Q46" s="25"/>
    </row>
    <row r="47" spans="13:17" x14ac:dyDescent="0.25">
      <c r="M47" s="23">
        <v>33</v>
      </c>
      <c r="N47" s="29">
        <f t="shared" si="3"/>
        <v>0.33</v>
      </c>
      <c r="O47" s="29">
        <f t="shared" si="4"/>
        <v>0.10890000000000001</v>
      </c>
      <c r="P47" s="29">
        <f t="shared" si="5"/>
        <v>1.0890000000000001E-3</v>
      </c>
      <c r="Q47" s="25"/>
    </row>
    <row r="48" spans="13:17" x14ac:dyDescent="0.25">
      <c r="M48" s="23">
        <v>34</v>
      </c>
      <c r="N48" s="29">
        <f t="shared" si="3"/>
        <v>0.34</v>
      </c>
      <c r="O48" s="29">
        <f t="shared" si="4"/>
        <v>0.11560000000000002</v>
      </c>
      <c r="P48" s="29">
        <f t="shared" si="5"/>
        <v>1.1560000000000003E-3</v>
      </c>
      <c r="Q48" s="25"/>
    </row>
    <row r="49" spans="13:17" x14ac:dyDescent="0.25">
      <c r="M49" s="23">
        <v>35</v>
      </c>
      <c r="N49" s="29">
        <f t="shared" si="3"/>
        <v>0.35000000000000003</v>
      </c>
      <c r="O49" s="29">
        <f t="shared" si="4"/>
        <v>0.12250000000000003</v>
      </c>
      <c r="P49" s="29">
        <f t="shared" si="5"/>
        <v>1.2250000000000002E-3</v>
      </c>
      <c r="Q49" s="25"/>
    </row>
    <row r="50" spans="13:17" x14ac:dyDescent="0.25">
      <c r="M50" s="23">
        <v>36</v>
      </c>
      <c r="N50" s="29">
        <f t="shared" si="3"/>
        <v>0.36</v>
      </c>
      <c r="O50" s="29">
        <f t="shared" si="4"/>
        <v>0.12959999999999999</v>
      </c>
      <c r="P50" s="29">
        <f t="shared" si="5"/>
        <v>1.2960000000000001E-3</v>
      </c>
      <c r="Q50" s="25"/>
    </row>
    <row r="51" spans="13:17" x14ac:dyDescent="0.25">
      <c r="M51" s="23">
        <v>37</v>
      </c>
      <c r="N51" s="29">
        <f t="shared" si="3"/>
        <v>0.37</v>
      </c>
      <c r="O51" s="29">
        <f t="shared" si="4"/>
        <v>0.13689999999999999</v>
      </c>
      <c r="P51" s="29">
        <f t="shared" si="5"/>
        <v>1.369E-3</v>
      </c>
      <c r="Q51" s="25"/>
    </row>
    <row r="52" spans="13:17" x14ac:dyDescent="0.25">
      <c r="M52" s="23">
        <v>38</v>
      </c>
      <c r="N52" s="29">
        <f t="shared" si="3"/>
        <v>0.38</v>
      </c>
      <c r="O52" s="29">
        <f t="shared" si="4"/>
        <v>0.1444</v>
      </c>
      <c r="P52" s="29">
        <f t="shared" si="5"/>
        <v>1.444E-3</v>
      </c>
      <c r="Q52" s="25"/>
    </row>
    <row r="53" spans="13:17" x14ac:dyDescent="0.25">
      <c r="M53" s="23">
        <v>39</v>
      </c>
      <c r="N53" s="29">
        <f t="shared" si="3"/>
        <v>0.39</v>
      </c>
      <c r="O53" s="29">
        <f t="shared" si="4"/>
        <v>0.15210000000000001</v>
      </c>
      <c r="P53" s="29">
        <f t="shared" si="5"/>
        <v>1.5210000000000002E-3</v>
      </c>
      <c r="Q53" s="25"/>
    </row>
    <row r="54" spans="13:17" x14ac:dyDescent="0.25">
      <c r="M54" s="23">
        <v>40</v>
      </c>
      <c r="N54" s="29">
        <f t="shared" si="3"/>
        <v>0.4</v>
      </c>
      <c r="O54" s="29">
        <f t="shared" si="4"/>
        <v>0.16000000000000003</v>
      </c>
      <c r="P54" s="29">
        <f t="shared" si="5"/>
        <v>1.6000000000000003E-3</v>
      </c>
      <c r="Q54" s="25"/>
    </row>
    <row r="55" spans="13:17" x14ac:dyDescent="0.25">
      <c r="M55" s="23">
        <v>41</v>
      </c>
      <c r="N55" s="29">
        <f t="shared" si="3"/>
        <v>0.41000000000000003</v>
      </c>
      <c r="O55" s="29">
        <f t="shared" si="4"/>
        <v>0.16810000000000003</v>
      </c>
      <c r="P55" s="29">
        <f t="shared" si="5"/>
        <v>1.6810000000000002E-3</v>
      </c>
      <c r="Q55" s="25"/>
    </row>
    <row r="56" spans="13:17" x14ac:dyDescent="0.25">
      <c r="M56" s="23">
        <v>42</v>
      </c>
      <c r="N56" s="29">
        <f t="shared" si="3"/>
        <v>0.42</v>
      </c>
      <c r="O56" s="29">
        <f t="shared" si="4"/>
        <v>0.17639999999999997</v>
      </c>
      <c r="P56" s="29">
        <f t="shared" si="5"/>
        <v>1.7639999999999997E-3</v>
      </c>
      <c r="Q56" s="25"/>
    </row>
    <row r="57" spans="13:17" x14ac:dyDescent="0.25">
      <c r="M57" s="23">
        <v>43</v>
      </c>
      <c r="N57" s="29">
        <f t="shared" si="3"/>
        <v>0.43</v>
      </c>
      <c r="O57" s="29">
        <f t="shared" si="4"/>
        <v>0.18489999999999998</v>
      </c>
      <c r="P57" s="29">
        <f t="shared" si="5"/>
        <v>1.8489999999999999E-3</v>
      </c>
      <c r="Q57" s="25"/>
    </row>
    <row r="58" spans="13:17" x14ac:dyDescent="0.25">
      <c r="M58" s="23">
        <v>44</v>
      </c>
      <c r="N58" s="29">
        <f t="shared" si="3"/>
        <v>0.44</v>
      </c>
      <c r="O58" s="29">
        <f t="shared" si="4"/>
        <v>0.19359999999999999</v>
      </c>
      <c r="P58" s="29">
        <f t="shared" si="5"/>
        <v>1.936E-3</v>
      </c>
      <c r="Q58" s="25"/>
    </row>
    <row r="59" spans="13:17" x14ac:dyDescent="0.25">
      <c r="M59" s="23">
        <v>45</v>
      </c>
      <c r="N59" s="29">
        <f t="shared" si="3"/>
        <v>0.45</v>
      </c>
      <c r="O59" s="29">
        <f t="shared" si="4"/>
        <v>0.20250000000000001</v>
      </c>
      <c r="P59" s="29">
        <f t="shared" si="5"/>
        <v>2.0250000000000003E-3</v>
      </c>
      <c r="Q59" s="25"/>
    </row>
    <row r="60" spans="13:17" x14ac:dyDescent="0.25">
      <c r="M60" s="23">
        <v>46</v>
      </c>
      <c r="N60" s="29">
        <f t="shared" si="3"/>
        <v>0.46</v>
      </c>
      <c r="O60" s="29">
        <f t="shared" si="4"/>
        <v>0.21160000000000001</v>
      </c>
      <c r="P60" s="29">
        <f t="shared" si="5"/>
        <v>2.1160000000000003E-3</v>
      </c>
      <c r="Q60" s="25"/>
    </row>
    <row r="61" spans="13:17" x14ac:dyDescent="0.25">
      <c r="M61" s="23">
        <v>47</v>
      </c>
      <c r="N61" s="29">
        <f t="shared" si="3"/>
        <v>0.47000000000000003</v>
      </c>
      <c r="O61" s="29">
        <f t="shared" si="4"/>
        <v>0.22090000000000004</v>
      </c>
      <c r="P61" s="29">
        <f t="shared" si="5"/>
        <v>2.2090000000000005E-3</v>
      </c>
      <c r="Q61" s="25"/>
    </row>
    <row r="62" spans="13:17" x14ac:dyDescent="0.25">
      <c r="M62" s="23">
        <v>48</v>
      </c>
      <c r="N62" s="29">
        <f t="shared" si="3"/>
        <v>0.48</v>
      </c>
      <c r="O62" s="29">
        <f t="shared" si="4"/>
        <v>0.23039999999999999</v>
      </c>
      <c r="P62" s="29">
        <f t="shared" si="5"/>
        <v>2.3040000000000001E-3</v>
      </c>
      <c r="Q62" s="25"/>
    </row>
    <row r="63" spans="13:17" x14ac:dyDescent="0.25">
      <c r="M63" s="23">
        <v>49</v>
      </c>
      <c r="N63" s="29">
        <f t="shared" si="3"/>
        <v>0.49</v>
      </c>
      <c r="O63" s="29">
        <f t="shared" si="4"/>
        <v>0.24009999999999998</v>
      </c>
      <c r="P63" s="29">
        <f t="shared" si="5"/>
        <v>2.4009999999999999E-3</v>
      </c>
      <c r="Q63" s="25"/>
    </row>
    <row r="64" spans="13:17" x14ac:dyDescent="0.25">
      <c r="M64" s="23">
        <v>50</v>
      </c>
      <c r="N64" s="29">
        <f t="shared" si="3"/>
        <v>0.5</v>
      </c>
      <c r="O64" s="29">
        <f t="shared" si="4"/>
        <v>0.25</v>
      </c>
      <c r="P64" s="29">
        <f t="shared" si="5"/>
        <v>2.5000000000000001E-3</v>
      </c>
      <c r="Q64" s="25"/>
    </row>
    <row r="65" spans="13:17" x14ac:dyDescent="0.25">
      <c r="M65" s="23">
        <v>51</v>
      </c>
      <c r="N65" s="29">
        <f t="shared" si="3"/>
        <v>0.51</v>
      </c>
      <c r="O65" s="29">
        <f t="shared" si="4"/>
        <v>0.2601</v>
      </c>
      <c r="P65" s="29">
        <f t="shared" si="5"/>
        <v>2.601E-3</v>
      </c>
      <c r="Q65" s="25"/>
    </row>
    <row r="66" spans="13:17" x14ac:dyDescent="0.25">
      <c r="M66" s="23">
        <v>52</v>
      </c>
      <c r="N66" s="29">
        <f t="shared" si="3"/>
        <v>0.52</v>
      </c>
      <c r="O66" s="29">
        <f t="shared" si="4"/>
        <v>0.27040000000000003</v>
      </c>
      <c r="P66" s="29">
        <f t="shared" si="5"/>
        <v>2.7040000000000002E-3</v>
      </c>
      <c r="Q66" s="25"/>
    </row>
    <row r="67" spans="13:17" x14ac:dyDescent="0.25">
      <c r="M67" s="23">
        <v>53</v>
      </c>
      <c r="N67" s="29">
        <f t="shared" si="3"/>
        <v>0.53</v>
      </c>
      <c r="O67" s="29">
        <f t="shared" si="4"/>
        <v>0.28090000000000004</v>
      </c>
      <c r="P67" s="29">
        <f t="shared" si="5"/>
        <v>2.8090000000000003E-3</v>
      </c>
      <c r="Q67" s="25"/>
    </row>
    <row r="68" spans="13:17" x14ac:dyDescent="0.25">
      <c r="M68" s="23">
        <v>54</v>
      </c>
      <c r="N68" s="29">
        <f t="shared" si="3"/>
        <v>0.54</v>
      </c>
      <c r="O68" s="29">
        <f t="shared" si="4"/>
        <v>0.29160000000000003</v>
      </c>
      <c r="P68" s="29">
        <f t="shared" si="5"/>
        <v>2.9160000000000002E-3</v>
      </c>
      <c r="Q68" s="25"/>
    </row>
    <row r="69" spans="13:17" x14ac:dyDescent="0.25">
      <c r="M69" s="23">
        <v>55</v>
      </c>
      <c r="N69" s="29">
        <f t="shared" si="3"/>
        <v>0.55000000000000004</v>
      </c>
      <c r="O69" s="29">
        <f t="shared" si="4"/>
        <v>0.30250000000000005</v>
      </c>
      <c r="P69" s="29">
        <f t="shared" si="5"/>
        <v>3.0250000000000003E-3</v>
      </c>
      <c r="Q69" s="25"/>
    </row>
    <row r="70" spans="13:17" x14ac:dyDescent="0.25">
      <c r="M70" s="23">
        <v>56</v>
      </c>
      <c r="N70" s="29">
        <f t="shared" si="3"/>
        <v>0.56000000000000005</v>
      </c>
      <c r="O70" s="29">
        <f t="shared" si="4"/>
        <v>0.31360000000000005</v>
      </c>
      <c r="P70" s="29">
        <f t="shared" si="5"/>
        <v>3.1360000000000003E-3</v>
      </c>
      <c r="Q70" s="25"/>
    </row>
    <row r="71" spans="13:17" x14ac:dyDescent="0.25">
      <c r="M71" s="23">
        <v>57</v>
      </c>
      <c r="N71" s="29">
        <f t="shared" si="3"/>
        <v>0.57000000000000006</v>
      </c>
      <c r="O71" s="29">
        <f t="shared" si="4"/>
        <v>0.32490000000000008</v>
      </c>
      <c r="P71" s="29">
        <f t="shared" si="5"/>
        <v>3.249000000000001E-3</v>
      </c>
      <c r="Q71" s="25"/>
    </row>
    <row r="72" spans="13:17" x14ac:dyDescent="0.25">
      <c r="M72" s="23">
        <v>58</v>
      </c>
      <c r="N72" s="29">
        <f t="shared" si="3"/>
        <v>0.57999999999999996</v>
      </c>
      <c r="O72" s="29">
        <f t="shared" si="4"/>
        <v>0.33639999999999998</v>
      </c>
      <c r="P72" s="29">
        <f t="shared" si="5"/>
        <v>3.3639999999999998E-3</v>
      </c>
      <c r="Q72" s="25"/>
    </row>
    <row r="73" spans="13:17" x14ac:dyDescent="0.25">
      <c r="M73" s="23">
        <v>59</v>
      </c>
      <c r="N73" s="29">
        <f t="shared" si="3"/>
        <v>0.59</v>
      </c>
      <c r="O73" s="29">
        <f t="shared" si="4"/>
        <v>0.34809999999999997</v>
      </c>
      <c r="P73" s="29">
        <f t="shared" si="5"/>
        <v>3.4809999999999997E-3</v>
      </c>
      <c r="Q73" s="25"/>
    </row>
    <row r="74" spans="13:17" x14ac:dyDescent="0.25">
      <c r="M74" s="23">
        <v>60</v>
      </c>
      <c r="N74" s="29">
        <f t="shared" si="3"/>
        <v>0.6</v>
      </c>
      <c r="O74" s="29">
        <f t="shared" si="4"/>
        <v>0.36</v>
      </c>
      <c r="P74" s="29">
        <f t="shared" si="5"/>
        <v>3.5999999999999999E-3</v>
      </c>
      <c r="Q74" s="25"/>
    </row>
    <row r="75" spans="13:17" x14ac:dyDescent="0.25">
      <c r="M75" s="23">
        <v>61</v>
      </c>
      <c r="N75" s="29">
        <f t="shared" si="3"/>
        <v>0.61</v>
      </c>
      <c r="O75" s="29">
        <f t="shared" si="4"/>
        <v>0.37209999999999999</v>
      </c>
      <c r="P75" s="29">
        <f t="shared" si="5"/>
        <v>3.7209999999999999E-3</v>
      </c>
      <c r="Q75" s="25"/>
    </row>
    <row r="76" spans="13:17" x14ac:dyDescent="0.25">
      <c r="M76" s="23">
        <v>62</v>
      </c>
      <c r="N76" s="29">
        <f t="shared" si="3"/>
        <v>0.62</v>
      </c>
      <c r="O76" s="29">
        <f t="shared" si="4"/>
        <v>0.38440000000000002</v>
      </c>
      <c r="P76" s="29">
        <f t="shared" si="5"/>
        <v>3.8440000000000002E-3</v>
      </c>
      <c r="Q76" s="25"/>
    </row>
    <row r="77" spans="13:17" x14ac:dyDescent="0.25">
      <c r="M77" s="23">
        <v>63</v>
      </c>
      <c r="N77" s="29">
        <f t="shared" si="3"/>
        <v>0.63</v>
      </c>
      <c r="O77" s="29">
        <f t="shared" si="4"/>
        <v>0.39690000000000003</v>
      </c>
      <c r="P77" s="29">
        <f t="shared" si="5"/>
        <v>3.9690000000000003E-3</v>
      </c>
      <c r="Q77" s="25"/>
    </row>
    <row r="78" spans="13:17" x14ac:dyDescent="0.25">
      <c r="M78" s="23">
        <v>64</v>
      </c>
      <c r="N78" s="29">
        <f t="shared" si="3"/>
        <v>0.64</v>
      </c>
      <c r="O78" s="29">
        <f t="shared" si="4"/>
        <v>0.40960000000000002</v>
      </c>
      <c r="P78" s="29">
        <f t="shared" si="5"/>
        <v>4.0960000000000007E-3</v>
      </c>
      <c r="Q78" s="25"/>
    </row>
    <row r="79" spans="13:17" x14ac:dyDescent="0.25">
      <c r="M79" s="23">
        <v>65</v>
      </c>
      <c r="N79" s="29">
        <f t="shared" ref="N79:N114" si="10">$B$4+M79*$D$8</f>
        <v>0.65</v>
      </c>
      <c r="O79" s="29">
        <f t="shared" ref="O79:O114" si="11">N79^2</f>
        <v>0.42250000000000004</v>
      </c>
      <c r="P79" s="29">
        <f t="shared" ref="P79:P114" si="12">O79*$D$8</f>
        <v>4.2250000000000005E-3</v>
      </c>
      <c r="Q79" s="25"/>
    </row>
    <row r="80" spans="13:17" x14ac:dyDescent="0.25">
      <c r="M80" s="23">
        <v>66</v>
      </c>
      <c r="N80" s="29">
        <f t="shared" si="10"/>
        <v>0.66</v>
      </c>
      <c r="O80" s="29">
        <f t="shared" si="11"/>
        <v>0.43560000000000004</v>
      </c>
      <c r="P80" s="29">
        <f t="shared" si="12"/>
        <v>4.3560000000000005E-3</v>
      </c>
      <c r="Q80" s="25"/>
    </row>
    <row r="81" spans="13:17" x14ac:dyDescent="0.25">
      <c r="M81" s="23">
        <v>67</v>
      </c>
      <c r="N81" s="29">
        <f t="shared" si="10"/>
        <v>0.67</v>
      </c>
      <c r="O81" s="29">
        <f t="shared" si="11"/>
        <v>0.44890000000000008</v>
      </c>
      <c r="P81" s="29">
        <f t="shared" si="12"/>
        <v>4.4890000000000008E-3</v>
      </c>
      <c r="Q81" s="25"/>
    </row>
    <row r="82" spans="13:17" x14ac:dyDescent="0.25">
      <c r="M82" s="23">
        <v>68</v>
      </c>
      <c r="N82" s="29">
        <f t="shared" si="10"/>
        <v>0.68</v>
      </c>
      <c r="O82" s="29">
        <f t="shared" si="11"/>
        <v>0.46240000000000009</v>
      </c>
      <c r="P82" s="29">
        <f t="shared" si="12"/>
        <v>4.6240000000000014E-3</v>
      </c>
      <c r="Q82" s="25"/>
    </row>
    <row r="83" spans="13:17" x14ac:dyDescent="0.25">
      <c r="M83" s="23">
        <v>69</v>
      </c>
      <c r="N83" s="29">
        <f t="shared" si="10"/>
        <v>0.69000000000000006</v>
      </c>
      <c r="O83" s="29">
        <f t="shared" si="11"/>
        <v>0.47610000000000008</v>
      </c>
      <c r="P83" s="29">
        <f t="shared" si="12"/>
        <v>4.7610000000000005E-3</v>
      </c>
      <c r="Q83" s="25"/>
    </row>
    <row r="84" spans="13:17" x14ac:dyDescent="0.25">
      <c r="M84" s="23">
        <v>70</v>
      </c>
      <c r="N84" s="29">
        <f t="shared" si="10"/>
        <v>0.70000000000000007</v>
      </c>
      <c r="O84" s="29">
        <f t="shared" si="11"/>
        <v>0.4900000000000001</v>
      </c>
      <c r="P84" s="29">
        <f t="shared" si="12"/>
        <v>4.9000000000000007E-3</v>
      </c>
      <c r="Q84" s="25"/>
    </row>
    <row r="85" spans="13:17" x14ac:dyDescent="0.25">
      <c r="M85" s="23">
        <v>71</v>
      </c>
      <c r="N85" s="29">
        <f t="shared" si="10"/>
        <v>0.71</v>
      </c>
      <c r="O85" s="29">
        <f t="shared" si="11"/>
        <v>0.50409999999999999</v>
      </c>
      <c r="P85" s="29">
        <f t="shared" si="12"/>
        <v>5.0410000000000003E-3</v>
      </c>
      <c r="Q85" s="25"/>
    </row>
    <row r="86" spans="13:17" x14ac:dyDescent="0.25">
      <c r="M86" s="23">
        <v>72</v>
      </c>
      <c r="N86" s="29">
        <f t="shared" si="10"/>
        <v>0.72</v>
      </c>
      <c r="O86" s="29">
        <f t="shared" si="11"/>
        <v>0.51839999999999997</v>
      </c>
      <c r="P86" s="29">
        <f t="shared" si="12"/>
        <v>5.1840000000000002E-3</v>
      </c>
      <c r="Q86" s="25"/>
    </row>
    <row r="87" spans="13:17" x14ac:dyDescent="0.25">
      <c r="M87" s="23">
        <v>73</v>
      </c>
      <c r="N87" s="29">
        <f t="shared" si="10"/>
        <v>0.73</v>
      </c>
      <c r="O87" s="29">
        <f t="shared" si="11"/>
        <v>0.53289999999999993</v>
      </c>
      <c r="P87" s="29">
        <f t="shared" si="12"/>
        <v>5.3289999999999995E-3</v>
      </c>
      <c r="Q87" s="25"/>
    </row>
    <row r="88" spans="13:17" x14ac:dyDescent="0.25">
      <c r="M88" s="23">
        <v>74</v>
      </c>
      <c r="N88" s="29">
        <f t="shared" si="10"/>
        <v>0.74</v>
      </c>
      <c r="O88" s="29">
        <f t="shared" si="11"/>
        <v>0.54759999999999998</v>
      </c>
      <c r="P88" s="29">
        <f t="shared" si="12"/>
        <v>5.476E-3</v>
      </c>
      <c r="Q88" s="25"/>
    </row>
    <row r="89" spans="13:17" x14ac:dyDescent="0.25">
      <c r="M89" s="23">
        <v>75</v>
      </c>
      <c r="N89" s="29">
        <f t="shared" si="10"/>
        <v>0.75</v>
      </c>
      <c r="O89" s="29">
        <f t="shared" si="11"/>
        <v>0.5625</v>
      </c>
      <c r="P89" s="29">
        <f t="shared" si="12"/>
        <v>5.6249999999999998E-3</v>
      </c>
      <c r="Q89" s="25"/>
    </row>
    <row r="90" spans="13:17" x14ac:dyDescent="0.25">
      <c r="M90" s="23">
        <v>76</v>
      </c>
      <c r="N90" s="29">
        <f t="shared" si="10"/>
        <v>0.76</v>
      </c>
      <c r="O90" s="29">
        <f t="shared" si="11"/>
        <v>0.5776</v>
      </c>
      <c r="P90" s="29">
        <f t="shared" si="12"/>
        <v>5.7759999999999999E-3</v>
      </c>
      <c r="Q90" s="25"/>
    </row>
    <row r="91" spans="13:17" x14ac:dyDescent="0.25">
      <c r="M91" s="23">
        <v>77</v>
      </c>
      <c r="N91" s="29">
        <f t="shared" si="10"/>
        <v>0.77</v>
      </c>
      <c r="O91" s="29">
        <f t="shared" si="11"/>
        <v>0.59289999999999998</v>
      </c>
      <c r="P91" s="29">
        <f t="shared" si="12"/>
        <v>5.9290000000000002E-3</v>
      </c>
      <c r="Q91" s="25"/>
    </row>
    <row r="92" spans="13:17" x14ac:dyDescent="0.25">
      <c r="M92" s="23">
        <v>78</v>
      </c>
      <c r="N92" s="29">
        <f t="shared" si="10"/>
        <v>0.78</v>
      </c>
      <c r="O92" s="29">
        <f t="shared" si="11"/>
        <v>0.60840000000000005</v>
      </c>
      <c r="P92" s="29">
        <f t="shared" si="12"/>
        <v>6.0840000000000009E-3</v>
      </c>
      <c r="Q92" s="25"/>
    </row>
    <row r="93" spans="13:17" x14ac:dyDescent="0.25">
      <c r="M93" s="23">
        <v>79</v>
      </c>
      <c r="N93" s="29">
        <f t="shared" si="10"/>
        <v>0.79</v>
      </c>
      <c r="O93" s="29">
        <f t="shared" si="11"/>
        <v>0.6241000000000001</v>
      </c>
      <c r="P93" s="29">
        <f t="shared" si="12"/>
        <v>6.2410000000000009E-3</v>
      </c>
      <c r="Q93" s="25"/>
    </row>
    <row r="94" spans="13:17" x14ac:dyDescent="0.25">
      <c r="M94" s="23">
        <v>80</v>
      </c>
      <c r="N94" s="29">
        <f t="shared" si="10"/>
        <v>0.8</v>
      </c>
      <c r="O94" s="29">
        <f t="shared" si="11"/>
        <v>0.64000000000000012</v>
      </c>
      <c r="P94" s="29">
        <f t="shared" si="12"/>
        <v>6.4000000000000012E-3</v>
      </c>
      <c r="Q94" s="25"/>
    </row>
    <row r="95" spans="13:17" x14ac:dyDescent="0.25">
      <c r="M95" s="23">
        <v>81</v>
      </c>
      <c r="N95" s="29">
        <f t="shared" si="10"/>
        <v>0.81</v>
      </c>
      <c r="O95" s="29">
        <f t="shared" si="11"/>
        <v>0.65610000000000013</v>
      </c>
      <c r="P95" s="29">
        <f t="shared" si="12"/>
        <v>6.5610000000000017E-3</v>
      </c>
      <c r="Q95" s="25"/>
    </row>
    <row r="96" spans="13:17" x14ac:dyDescent="0.25">
      <c r="M96" s="23">
        <v>82</v>
      </c>
      <c r="N96" s="29">
        <f t="shared" si="10"/>
        <v>0.82000000000000006</v>
      </c>
      <c r="O96" s="29">
        <f t="shared" si="11"/>
        <v>0.67240000000000011</v>
      </c>
      <c r="P96" s="29">
        <f t="shared" si="12"/>
        <v>6.7240000000000008E-3</v>
      </c>
      <c r="Q96" s="25"/>
    </row>
    <row r="97" spans="13:17" x14ac:dyDescent="0.25">
      <c r="M97" s="23">
        <v>83</v>
      </c>
      <c r="N97" s="29">
        <f t="shared" si="10"/>
        <v>0.83000000000000007</v>
      </c>
      <c r="O97" s="29">
        <f t="shared" si="11"/>
        <v>0.68890000000000007</v>
      </c>
      <c r="P97" s="29">
        <f t="shared" si="12"/>
        <v>6.889000000000001E-3</v>
      </c>
      <c r="Q97" s="25"/>
    </row>
    <row r="98" spans="13:17" x14ac:dyDescent="0.25">
      <c r="M98" s="23">
        <v>84</v>
      </c>
      <c r="N98" s="29">
        <f t="shared" si="10"/>
        <v>0.84</v>
      </c>
      <c r="O98" s="29">
        <f t="shared" si="11"/>
        <v>0.70559999999999989</v>
      </c>
      <c r="P98" s="29">
        <f t="shared" si="12"/>
        <v>7.0559999999999989E-3</v>
      </c>
      <c r="Q98" s="25"/>
    </row>
    <row r="99" spans="13:17" x14ac:dyDescent="0.25">
      <c r="M99" s="23">
        <v>85</v>
      </c>
      <c r="N99" s="29">
        <f t="shared" si="10"/>
        <v>0.85</v>
      </c>
      <c r="O99" s="29">
        <f t="shared" si="11"/>
        <v>0.72249999999999992</v>
      </c>
      <c r="P99" s="29">
        <f t="shared" si="12"/>
        <v>7.2249999999999997E-3</v>
      </c>
      <c r="Q99" s="25"/>
    </row>
    <row r="100" spans="13:17" x14ac:dyDescent="0.25">
      <c r="M100" s="23">
        <v>86</v>
      </c>
      <c r="N100" s="29">
        <f t="shared" si="10"/>
        <v>0.86</v>
      </c>
      <c r="O100" s="29">
        <f t="shared" si="11"/>
        <v>0.73959999999999992</v>
      </c>
      <c r="P100" s="29">
        <f t="shared" si="12"/>
        <v>7.3959999999999998E-3</v>
      </c>
      <c r="Q100" s="25"/>
    </row>
    <row r="101" spans="13:17" x14ac:dyDescent="0.25">
      <c r="M101" s="23">
        <v>87</v>
      </c>
      <c r="N101" s="29">
        <f t="shared" si="10"/>
        <v>0.87</v>
      </c>
      <c r="O101" s="29">
        <f t="shared" si="11"/>
        <v>0.75690000000000002</v>
      </c>
      <c r="P101" s="29">
        <f t="shared" si="12"/>
        <v>7.5690000000000002E-3</v>
      </c>
      <c r="Q101" s="25"/>
    </row>
    <row r="102" spans="13:17" x14ac:dyDescent="0.25">
      <c r="M102" s="23">
        <v>88</v>
      </c>
      <c r="N102" s="29">
        <f t="shared" si="10"/>
        <v>0.88</v>
      </c>
      <c r="O102" s="29">
        <f t="shared" si="11"/>
        <v>0.77439999999999998</v>
      </c>
      <c r="P102" s="29">
        <f t="shared" si="12"/>
        <v>7.744E-3</v>
      </c>
      <c r="Q102" s="25"/>
    </row>
    <row r="103" spans="13:17" x14ac:dyDescent="0.25">
      <c r="M103" s="23">
        <v>89</v>
      </c>
      <c r="N103" s="29">
        <f t="shared" si="10"/>
        <v>0.89</v>
      </c>
      <c r="O103" s="29">
        <f t="shared" si="11"/>
        <v>0.79210000000000003</v>
      </c>
      <c r="P103" s="29">
        <f t="shared" si="12"/>
        <v>7.921000000000001E-3</v>
      </c>
      <c r="Q103" s="25"/>
    </row>
    <row r="104" spans="13:17" x14ac:dyDescent="0.25">
      <c r="M104" s="23">
        <v>90</v>
      </c>
      <c r="N104" s="29">
        <f t="shared" si="10"/>
        <v>0.9</v>
      </c>
      <c r="O104" s="29">
        <f t="shared" si="11"/>
        <v>0.81</v>
      </c>
      <c r="P104" s="29">
        <f t="shared" si="12"/>
        <v>8.1000000000000013E-3</v>
      </c>
      <c r="Q104" s="25"/>
    </row>
    <row r="105" spans="13:17" x14ac:dyDescent="0.25">
      <c r="M105" s="23">
        <v>91</v>
      </c>
      <c r="N105" s="29">
        <f t="shared" si="10"/>
        <v>0.91</v>
      </c>
      <c r="O105" s="29">
        <f t="shared" si="11"/>
        <v>0.82810000000000006</v>
      </c>
      <c r="P105" s="29">
        <f t="shared" si="12"/>
        <v>8.2810000000000002E-3</v>
      </c>
      <c r="Q105" s="25"/>
    </row>
    <row r="106" spans="13:17" x14ac:dyDescent="0.25">
      <c r="M106" s="23">
        <v>92</v>
      </c>
      <c r="N106" s="29">
        <f t="shared" si="10"/>
        <v>0.92</v>
      </c>
      <c r="O106" s="29">
        <f t="shared" si="11"/>
        <v>0.84640000000000004</v>
      </c>
      <c r="P106" s="29">
        <f t="shared" si="12"/>
        <v>8.464000000000001E-3</v>
      </c>
      <c r="Q106" s="25"/>
    </row>
    <row r="107" spans="13:17" x14ac:dyDescent="0.25">
      <c r="M107" s="23">
        <v>93</v>
      </c>
      <c r="N107" s="29">
        <f t="shared" si="10"/>
        <v>0.93</v>
      </c>
      <c r="O107" s="29">
        <f t="shared" si="11"/>
        <v>0.86490000000000011</v>
      </c>
      <c r="P107" s="29">
        <f t="shared" si="12"/>
        <v>8.6490000000000022E-3</v>
      </c>
      <c r="Q107" s="25"/>
    </row>
    <row r="108" spans="13:17" x14ac:dyDescent="0.25">
      <c r="M108" s="23">
        <v>94</v>
      </c>
      <c r="N108" s="29">
        <f t="shared" si="10"/>
        <v>0.94000000000000006</v>
      </c>
      <c r="O108" s="29">
        <f t="shared" si="11"/>
        <v>0.88360000000000016</v>
      </c>
      <c r="P108" s="29">
        <f t="shared" si="12"/>
        <v>8.8360000000000018E-3</v>
      </c>
      <c r="Q108" s="25"/>
    </row>
    <row r="109" spans="13:17" x14ac:dyDescent="0.25">
      <c r="M109" s="23">
        <v>95</v>
      </c>
      <c r="N109" s="29">
        <f t="shared" si="10"/>
        <v>0.95000000000000007</v>
      </c>
      <c r="O109" s="29">
        <f t="shared" si="11"/>
        <v>0.90250000000000008</v>
      </c>
      <c r="P109" s="29">
        <f t="shared" si="12"/>
        <v>9.0250000000000018E-3</v>
      </c>
      <c r="Q109" s="25"/>
    </row>
    <row r="110" spans="13:17" x14ac:dyDescent="0.25">
      <c r="M110" s="23">
        <v>96</v>
      </c>
      <c r="N110" s="29">
        <f t="shared" si="10"/>
        <v>0.96</v>
      </c>
      <c r="O110" s="29">
        <f t="shared" si="11"/>
        <v>0.92159999999999997</v>
      </c>
      <c r="P110" s="29">
        <f t="shared" si="12"/>
        <v>9.2160000000000002E-3</v>
      </c>
      <c r="Q110" s="25"/>
    </row>
    <row r="111" spans="13:17" x14ac:dyDescent="0.25">
      <c r="M111" s="23">
        <v>97</v>
      </c>
      <c r="N111" s="29">
        <f t="shared" si="10"/>
        <v>0.97</v>
      </c>
      <c r="O111" s="29">
        <f t="shared" si="11"/>
        <v>0.94089999999999996</v>
      </c>
      <c r="P111" s="29">
        <f t="shared" si="12"/>
        <v>9.408999999999999E-3</v>
      </c>
      <c r="Q111" s="25"/>
    </row>
    <row r="112" spans="13:17" x14ac:dyDescent="0.25">
      <c r="M112" s="23">
        <v>98</v>
      </c>
      <c r="N112" s="29">
        <f t="shared" si="10"/>
        <v>0.98</v>
      </c>
      <c r="O112" s="29">
        <f t="shared" si="11"/>
        <v>0.96039999999999992</v>
      </c>
      <c r="P112" s="29">
        <f t="shared" si="12"/>
        <v>9.6039999999999997E-3</v>
      </c>
      <c r="Q112" s="25"/>
    </row>
    <row r="113" spans="13:17" x14ac:dyDescent="0.25">
      <c r="M113" s="23">
        <v>99</v>
      </c>
      <c r="N113" s="29">
        <f t="shared" si="10"/>
        <v>0.99</v>
      </c>
      <c r="O113" s="29">
        <f t="shared" si="11"/>
        <v>0.98009999999999997</v>
      </c>
      <c r="P113" s="29">
        <f t="shared" si="12"/>
        <v>9.8010000000000007E-3</v>
      </c>
      <c r="Q113" s="25"/>
    </row>
    <row r="114" spans="13:17" ht="15.75" thickBot="1" x14ac:dyDescent="0.3">
      <c r="M114" s="26">
        <v>100</v>
      </c>
      <c r="N114" s="30">
        <f t="shared" si="10"/>
        <v>1</v>
      </c>
      <c r="O114" s="30">
        <f t="shared" si="11"/>
        <v>1</v>
      </c>
      <c r="P114" s="30">
        <f t="shared" si="12"/>
        <v>0.01</v>
      </c>
      <c r="Q114" s="28"/>
    </row>
    <row r="115" spans="13:17" x14ac:dyDescent="0.25">
      <c r="M115" s="1"/>
      <c r="N115" s="2"/>
      <c r="O115" s="7" t="s">
        <v>9</v>
      </c>
      <c r="P115" s="8">
        <f>SUM(P14:P114)</f>
        <v>0.33835000000000015</v>
      </c>
      <c r="Q115" s="9">
        <f>ABS($F$4-P115)/$F$4</f>
        <v>1.5050000000000507E-2</v>
      </c>
    </row>
    <row r="116" spans="13:17" x14ac:dyDescent="0.25">
      <c r="M116" s="1"/>
      <c r="N116" s="2"/>
      <c r="O116" s="2"/>
      <c r="P116" s="2"/>
    </row>
    <row r="117" spans="13:17" x14ac:dyDescent="0.25">
      <c r="M117" s="1"/>
      <c r="N117" s="2"/>
      <c r="O117" s="2"/>
      <c r="P117" s="2"/>
    </row>
    <row r="118" spans="13:17" x14ac:dyDescent="0.25">
      <c r="M118" s="1"/>
      <c r="N118" s="2"/>
      <c r="O118" s="2"/>
      <c r="P118" s="2"/>
    </row>
    <row r="119" spans="13:17" x14ac:dyDescent="0.25">
      <c r="M119" s="1"/>
      <c r="N119" s="2"/>
      <c r="O119" s="2"/>
      <c r="P119" s="2"/>
    </row>
    <row r="120" spans="13:17" x14ac:dyDescent="0.25">
      <c r="M120" s="1"/>
      <c r="N120" s="2"/>
      <c r="O120" s="2"/>
      <c r="P120" s="2"/>
    </row>
  </sheetData>
  <mergeCells count="3">
    <mergeCell ref="C4:C5"/>
    <mergeCell ref="E4:E5"/>
    <mergeCell ref="F4:F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3332-9E9F-4E59-8A71-9DBF6B1D27E1}">
  <dimension ref="A1:T120"/>
  <sheetViews>
    <sheetView showGridLines="0" zoomScale="130" zoomScaleNormal="130" workbookViewId="0">
      <pane ySplit="13" topLeftCell="A14" activePane="bottomLeft" state="frozen"/>
      <selection pane="bottomLeft" activeCell="L5" sqref="L5"/>
    </sheetView>
  </sheetViews>
  <sheetFormatPr defaultRowHeight="15" x14ac:dyDescent="0.25"/>
  <sheetData>
    <row r="1" spans="1:20" x14ac:dyDescent="0.25">
      <c r="A1" s="3" t="s">
        <v>0</v>
      </c>
    </row>
    <row r="2" spans="1:20" x14ac:dyDescent="0.25">
      <c r="A2" s="3"/>
    </row>
    <row r="3" spans="1:20" x14ac:dyDescent="0.25">
      <c r="A3" s="36" t="s">
        <v>21</v>
      </c>
    </row>
    <row r="4" spans="1:20" ht="18" customHeight="1" x14ac:dyDescent="0.25">
      <c r="A4" s="13" t="s">
        <v>1</v>
      </c>
      <c r="B4" s="14">
        <v>0</v>
      </c>
      <c r="C4" s="1"/>
      <c r="D4" s="37" t="s">
        <v>20</v>
      </c>
      <c r="E4" s="4"/>
      <c r="F4" s="37" t="s">
        <v>19</v>
      </c>
      <c r="G4" s="37">
        <f>1/3</f>
        <v>0.33333333333333331</v>
      </c>
    </row>
    <row r="5" spans="1:20" x14ac:dyDescent="0.25">
      <c r="A5" s="13" t="s">
        <v>2</v>
      </c>
      <c r="B5" s="14">
        <v>1</v>
      </c>
      <c r="C5" s="1"/>
      <c r="D5" s="37"/>
      <c r="F5" s="37"/>
      <c r="G5" s="37"/>
    </row>
    <row r="7" spans="1:20" x14ac:dyDescent="0.25">
      <c r="A7" s="15" t="s">
        <v>3</v>
      </c>
      <c r="B7" s="16">
        <v>5</v>
      </c>
      <c r="C7" s="16">
        <v>10</v>
      </c>
      <c r="D7" s="16">
        <v>100</v>
      </c>
    </row>
    <row r="8" spans="1:20" x14ac:dyDescent="0.25">
      <c r="A8" s="4" t="s">
        <v>7</v>
      </c>
      <c r="B8" s="8">
        <f>($B$5-$B$4)/B7</f>
        <v>0.2</v>
      </c>
      <c r="C8" s="8">
        <f t="shared" ref="C8" si="0">($B$5-$B$4)/C7</f>
        <v>0.1</v>
      </c>
      <c r="D8" s="8">
        <f>($B$5-$B$4)/D7</f>
        <v>0.01</v>
      </c>
    </row>
    <row r="9" spans="1:20" x14ac:dyDescent="0.25">
      <c r="A9" s="4"/>
      <c r="B9" s="8"/>
      <c r="C9" s="8"/>
      <c r="D9" s="8"/>
    </row>
    <row r="10" spans="1:20" x14ac:dyDescent="0.25">
      <c r="A10" s="17" t="s">
        <v>18</v>
      </c>
      <c r="B10" s="19">
        <f>F20</f>
        <v>2.0000000000000295E-2</v>
      </c>
      <c r="C10" s="19">
        <f>M25</f>
        <v>5.000000000000282E-3</v>
      </c>
      <c r="D10" s="19">
        <f>T115</f>
        <v>5.0000000000161027E-5</v>
      </c>
    </row>
    <row r="12" spans="1:20" x14ac:dyDescent="0.25">
      <c r="A12" s="12" t="s">
        <v>15</v>
      </c>
      <c r="H12" s="12" t="s">
        <v>16</v>
      </c>
      <c r="O12" s="12" t="s">
        <v>17</v>
      </c>
    </row>
    <row r="13" spans="1:20" s="6" customFormat="1" ht="15.75" thickBot="1" x14ac:dyDescent="0.3">
      <c r="A13" s="5" t="s">
        <v>4</v>
      </c>
      <c r="B13" s="5" t="s">
        <v>5</v>
      </c>
      <c r="C13" s="5" t="s">
        <v>6</v>
      </c>
      <c r="D13" s="5" t="s">
        <v>13</v>
      </c>
      <c r="E13" s="5" t="s">
        <v>12</v>
      </c>
      <c r="F13" s="5" t="s">
        <v>10</v>
      </c>
      <c r="H13" s="5" t="s">
        <v>4</v>
      </c>
      <c r="I13" s="5" t="s">
        <v>5</v>
      </c>
      <c r="J13" s="5" t="s">
        <v>6</v>
      </c>
      <c r="K13" s="5" t="s">
        <v>13</v>
      </c>
      <c r="L13" s="5" t="s">
        <v>12</v>
      </c>
      <c r="M13" s="5" t="s">
        <v>10</v>
      </c>
      <c r="O13" s="5" t="s">
        <v>4</v>
      </c>
      <c r="P13" s="5" t="s">
        <v>5</v>
      </c>
      <c r="Q13" s="5" t="s">
        <v>6</v>
      </c>
      <c r="R13" s="5" t="s">
        <v>13</v>
      </c>
      <c r="S13" s="5" t="s">
        <v>12</v>
      </c>
      <c r="T13" s="5" t="s">
        <v>10</v>
      </c>
    </row>
    <row r="14" spans="1:20" x14ac:dyDescent="0.25">
      <c r="A14" s="20">
        <v>0</v>
      </c>
      <c r="B14" s="21">
        <f>$B$4+A14*$B$8</f>
        <v>0</v>
      </c>
      <c r="C14" s="21">
        <f>B14^2</f>
        <v>0</v>
      </c>
      <c r="D14" s="31">
        <v>1</v>
      </c>
      <c r="E14" s="21">
        <f>D14*C14</f>
        <v>0</v>
      </c>
      <c r="F14" s="22"/>
      <c r="H14" s="20">
        <v>0</v>
      </c>
      <c r="I14" s="21">
        <f>$B$4+H14*$C$8</f>
        <v>0</v>
      </c>
      <c r="J14" s="21">
        <f>I14^2</f>
        <v>0</v>
      </c>
      <c r="K14" s="31">
        <v>1</v>
      </c>
      <c r="L14" s="21">
        <f>K14*J14</f>
        <v>0</v>
      </c>
      <c r="M14" s="22"/>
      <c r="O14" s="20">
        <v>0</v>
      </c>
      <c r="P14" s="21">
        <f t="shared" ref="P14:P45" si="1">$B$4+O14*$D$8</f>
        <v>0</v>
      </c>
      <c r="Q14" s="21">
        <f>P14^2</f>
        <v>0</v>
      </c>
      <c r="R14" s="31">
        <v>1</v>
      </c>
      <c r="S14" s="21">
        <f>R14*Q14</f>
        <v>0</v>
      </c>
      <c r="T14" s="22"/>
    </row>
    <row r="15" spans="1:20" x14ac:dyDescent="0.25">
      <c r="A15" s="23">
        <v>1</v>
      </c>
      <c r="B15" s="24">
        <f>$B$4+A15*$B$8</f>
        <v>0.2</v>
      </c>
      <c r="C15" s="24">
        <f>B15^2</f>
        <v>4.0000000000000008E-2</v>
      </c>
      <c r="D15" s="32">
        <v>2</v>
      </c>
      <c r="E15" s="24">
        <f>D15*C15</f>
        <v>8.0000000000000016E-2</v>
      </c>
      <c r="F15" s="25"/>
      <c r="H15" s="23">
        <v>1</v>
      </c>
      <c r="I15" s="24">
        <f>$B$4+H15*$C$8</f>
        <v>0.1</v>
      </c>
      <c r="J15" s="24">
        <f>I15^2</f>
        <v>1.0000000000000002E-2</v>
      </c>
      <c r="K15" s="32">
        <v>2</v>
      </c>
      <c r="L15" s="24">
        <f>K15*J15</f>
        <v>2.0000000000000004E-2</v>
      </c>
      <c r="M15" s="25"/>
      <c r="O15" s="23">
        <v>1</v>
      </c>
      <c r="P15" s="29">
        <f t="shared" si="1"/>
        <v>0.01</v>
      </c>
      <c r="Q15" s="29">
        <f t="shared" ref="Q15:Q78" si="2">P15^2</f>
        <v>1E-4</v>
      </c>
      <c r="R15" s="34">
        <v>2</v>
      </c>
      <c r="S15" s="24">
        <f>R15*Q15</f>
        <v>2.0000000000000001E-4</v>
      </c>
      <c r="T15" s="25"/>
    </row>
    <row r="16" spans="1:20" x14ac:dyDescent="0.25">
      <c r="A16" s="23">
        <v>2</v>
      </c>
      <c r="B16" s="24">
        <f>$B$4+A16*$B$8</f>
        <v>0.4</v>
      </c>
      <c r="C16" s="24">
        <f>B16^2</f>
        <v>0.16000000000000003</v>
      </c>
      <c r="D16" s="32">
        <v>2</v>
      </c>
      <c r="E16" s="24">
        <f t="shared" ref="E16:E19" si="3">D16*C16</f>
        <v>0.32000000000000006</v>
      </c>
      <c r="F16" s="25"/>
      <c r="H16" s="23">
        <v>2</v>
      </c>
      <c r="I16" s="24">
        <f t="shared" ref="I16:I24" si="4">$B$4+H16*$C$8</f>
        <v>0.2</v>
      </c>
      <c r="J16" s="24">
        <f>I16^2</f>
        <v>4.0000000000000008E-2</v>
      </c>
      <c r="K16" s="32">
        <v>2</v>
      </c>
      <c r="L16" s="24">
        <f t="shared" ref="L16:L24" si="5">K16*J16</f>
        <v>8.0000000000000016E-2</v>
      </c>
      <c r="M16" s="25"/>
      <c r="O16" s="23">
        <v>2</v>
      </c>
      <c r="P16" s="29">
        <f t="shared" si="1"/>
        <v>0.02</v>
      </c>
      <c r="Q16" s="29">
        <f t="shared" si="2"/>
        <v>4.0000000000000002E-4</v>
      </c>
      <c r="R16" s="34">
        <v>2</v>
      </c>
      <c r="S16" s="24">
        <f t="shared" ref="S16:S79" si="6">R16*Q16</f>
        <v>8.0000000000000004E-4</v>
      </c>
      <c r="T16" s="25"/>
    </row>
    <row r="17" spans="1:20" x14ac:dyDescent="0.25">
      <c r="A17" s="23">
        <v>3</v>
      </c>
      <c r="B17" s="24">
        <f t="shared" ref="B17:B19" si="7">$B$4+A17*$B$8</f>
        <v>0.60000000000000009</v>
      </c>
      <c r="C17" s="24">
        <f>B17^2</f>
        <v>0.3600000000000001</v>
      </c>
      <c r="D17" s="32">
        <v>2</v>
      </c>
      <c r="E17" s="24">
        <f t="shared" si="3"/>
        <v>0.7200000000000002</v>
      </c>
      <c r="F17" s="25"/>
      <c r="H17" s="23">
        <v>3</v>
      </c>
      <c r="I17" s="24">
        <f t="shared" si="4"/>
        <v>0.30000000000000004</v>
      </c>
      <c r="J17" s="24">
        <f>I17^2</f>
        <v>9.0000000000000024E-2</v>
      </c>
      <c r="K17" s="32">
        <v>2</v>
      </c>
      <c r="L17" s="24">
        <f t="shared" si="5"/>
        <v>0.18000000000000005</v>
      </c>
      <c r="M17" s="25"/>
      <c r="O17" s="23">
        <v>3</v>
      </c>
      <c r="P17" s="29">
        <f t="shared" si="1"/>
        <v>0.03</v>
      </c>
      <c r="Q17" s="29">
        <f t="shared" si="2"/>
        <v>8.9999999999999998E-4</v>
      </c>
      <c r="R17" s="34">
        <v>2</v>
      </c>
      <c r="S17" s="24">
        <f>R17*Q17</f>
        <v>1.8E-3</v>
      </c>
      <c r="T17" s="25"/>
    </row>
    <row r="18" spans="1:20" x14ac:dyDescent="0.25">
      <c r="A18" s="23">
        <v>4</v>
      </c>
      <c r="B18" s="24">
        <f t="shared" si="7"/>
        <v>0.8</v>
      </c>
      <c r="C18" s="24">
        <f>B18^2</f>
        <v>0.64000000000000012</v>
      </c>
      <c r="D18" s="32">
        <v>2</v>
      </c>
      <c r="E18" s="24">
        <f t="shared" si="3"/>
        <v>1.2800000000000002</v>
      </c>
      <c r="F18" s="25"/>
      <c r="H18" s="23">
        <v>4</v>
      </c>
      <c r="I18" s="24">
        <f t="shared" si="4"/>
        <v>0.4</v>
      </c>
      <c r="J18" s="24">
        <f>I18^2</f>
        <v>0.16000000000000003</v>
      </c>
      <c r="K18" s="32">
        <v>2</v>
      </c>
      <c r="L18" s="24">
        <f t="shared" si="5"/>
        <v>0.32000000000000006</v>
      </c>
      <c r="M18" s="25"/>
      <c r="O18" s="23">
        <v>4</v>
      </c>
      <c r="P18" s="29">
        <f t="shared" si="1"/>
        <v>0.04</v>
      </c>
      <c r="Q18" s="29">
        <f t="shared" si="2"/>
        <v>1.6000000000000001E-3</v>
      </c>
      <c r="R18" s="34">
        <v>2</v>
      </c>
      <c r="S18" s="24">
        <f t="shared" si="6"/>
        <v>3.2000000000000002E-3</v>
      </c>
      <c r="T18" s="25"/>
    </row>
    <row r="19" spans="1:20" ht="15.75" thickBot="1" x14ac:dyDescent="0.3">
      <c r="A19" s="26">
        <v>5</v>
      </c>
      <c r="B19" s="27">
        <f t="shared" si="7"/>
        <v>1</v>
      </c>
      <c r="C19" s="27">
        <f t="shared" ref="C19" si="8">B19^2</f>
        <v>1</v>
      </c>
      <c r="D19" s="33">
        <v>1</v>
      </c>
      <c r="E19" s="27">
        <f t="shared" si="3"/>
        <v>1</v>
      </c>
      <c r="F19" s="28"/>
      <c r="H19" s="23">
        <v>5</v>
      </c>
      <c r="I19" s="24">
        <f t="shared" si="4"/>
        <v>0.5</v>
      </c>
      <c r="J19" s="24">
        <f t="shared" ref="J19:J24" si="9">I19^2</f>
        <v>0.25</v>
      </c>
      <c r="K19" s="32">
        <v>2</v>
      </c>
      <c r="L19" s="24">
        <f t="shared" si="5"/>
        <v>0.5</v>
      </c>
      <c r="M19" s="25"/>
      <c r="O19" s="23">
        <v>5</v>
      </c>
      <c r="P19" s="29">
        <f t="shared" si="1"/>
        <v>0.05</v>
      </c>
      <c r="Q19" s="29">
        <f t="shared" si="2"/>
        <v>2.5000000000000005E-3</v>
      </c>
      <c r="R19" s="34">
        <v>2</v>
      </c>
      <c r="S19" s="24">
        <f t="shared" si="6"/>
        <v>5.000000000000001E-3</v>
      </c>
      <c r="T19" s="25"/>
    </row>
    <row r="20" spans="1:20" x14ac:dyDescent="0.25">
      <c r="C20" s="7"/>
      <c r="D20" s="7" t="s">
        <v>9</v>
      </c>
      <c r="E20" s="8">
        <f>(SUM(E14:E19))*B8/2</f>
        <v>0.34000000000000008</v>
      </c>
      <c r="F20" s="10">
        <f>ABS($G$4-E20)/$G$4</f>
        <v>2.0000000000000295E-2</v>
      </c>
      <c r="H20" s="23">
        <v>6</v>
      </c>
      <c r="I20" s="24">
        <f t="shared" si="4"/>
        <v>0.60000000000000009</v>
      </c>
      <c r="J20" s="24">
        <f t="shared" si="9"/>
        <v>0.3600000000000001</v>
      </c>
      <c r="K20" s="32">
        <v>2</v>
      </c>
      <c r="L20" s="24">
        <f t="shared" si="5"/>
        <v>0.7200000000000002</v>
      </c>
      <c r="M20" s="25"/>
      <c r="O20" s="23">
        <v>6</v>
      </c>
      <c r="P20" s="29">
        <f t="shared" si="1"/>
        <v>0.06</v>
      </c>
      <c r="Q20" s="29">
        <f t="shared" si="2"/>
        <v>3.5999999999999999E-3</v>
      </c>
      <c r="R20" s="34">
        <v>2</v>
      </c>
      <c r="S20" s="24">
        <f t="shared" si="6"/>
        <v>7.1999999999999998E-3</v>
      </c>
      <c r="T20" s="25"/>
    </row>
    <row r="21" spans="1:20" x14ac:dyDescent="0.25">
      <c r="H21" s="23">
        <v>7</v>
      </c>
      <c r="I21" s="24">
        <f t="shared" si="4"/>
        <v>0.70000000000000007</v>
      </c>
      <c r="J21" s="24">
        <f t="shared" si="9"/>
        <v>0.4900000000000001</v>
      </c>
      <c r="K21" s="32">
        <v>2</v>
      </c>
      <c r="L21" s="24">
        <f t="shared" si="5"/>
        <v>0.9800000000000002</v>
      </c>
      <c r="M21" s="25"/>
      <c r="O21" s="23">
        <v>7</v>
      </c>
      <c r="P21" s="29">
        <f t="shared" si="1"/>
        <v>7.0000000000000007E-2</v>
      </c>
      <c r="Q21" s="29">
        <f t="shared" si="2"/>
        <v>4.9000000000000007E-3</v>
      </c>
      <c r="R21" s="34">
        <v>2</v>
      </c>
      <c r="S21" s="24">
        <f t="shared" si="6"/>
        <v>9.8000000000000014E-3</v>
      </c>
      <c r="T21" s="25"/>
    </row>
    <row r="22" spans="1:20" x14ac:dyDescent="0.25">
      <c r="H22" s="23">
        <v>8</v>
      </c>
      <c r="I22" s="24">
        <f t="shared" si="4"/>
        <v>0.8</v>
      </c>
      <c r="J22" s="24">
        <f t="shared" si="9"/>
        <v>0.64000000000000012</v>
      </c>
      <c r="K22" s="32">
        <v>2</v>
      </c>
      <c r="L22" s="24">
        <f t="shared" si="5"/>
        <v>1.2800000000000002</v>
      </c>
      <c r="M22" s="25"/>
      <c r="O22" s="23">
        <v>8</v>
      </c>
      <c r="P22" s="29">
        <f t="shared" si="1"/>
        <v>0.08</v>
      </c>
      <c r="Q22" s="29">
        <f t="shared" si="2"/>
        <v>6.4000000000000003E-3</v>
      </c>
      <c r="R22" s="34">
        <v>2</v>
      </c>
      <c r="S22" s="24">
        <f t="shared" si="6"/>
        <v>1.2800000000000001E-2</v>
      </c>
      <c r="T22" s="25"/>
    </row>
    <row r="23" spans="1:20" x14ac:dyDescent="0.25">
      <c r="H23" s="23">
        <v>9</v>
      </c>
      <c r="I23" s="24">
        <f t="shared" si="4"/>
        <v>0.9</v>
      </c>
      <c r="J23" s="24">
        <f t="shared" si="9"/>
        <v>0.81</v>
      </c>
      <c r="K23" s="32">
        <v>2</v>
      </c>
      <c r="L23" s="24">
        <f t="shared" si="5"/>
        <v>1.62</v>
      </c>
      <c r="M23" s="25"/>
      <c r="O23" s="23">
        <v>9</v>
      </c>
      <c r="P23" s="29">
        <f t="shared" si="1"/>
        <v>0.09</v>
      </c>
      <c r="Q23" s="29">
        <f t="shared" si="2"/>
        <v>8.0999999999999996E-3</v>
      </c>
      <c r="R23" s="34">
        <v>2</v>
      </c>
      <c r="S23" s="24">
        <f t="shared" si="6"/>
        <v>1.6199999999999999E-2</v>
      </c>
      <c r="T23" s="25"/>
    </row>
    <row r="24" spans="1:20" ht="15.75" thickBot="1" x14ac:dyDescent="0.3">
      <c r="H24" s="26">
        <v>10</v>
      </c>
      <c r="I24" s="27">
        <f t="shared" si="4"/>
        <v>1</v>
      </c>
      <c r="J24" s="27">
        <f t="shared" si="9"/>
        <v>1</v>
      </c>
      <c r="K24" s="33">
        <v>1</v>
      </c>
      <c r="L24" s="27">
        <f t="shared" si="5"/>
        <v>1</v>
      </c>
      <c r="M24" s="28"/>
      <c r="O24" s="23">
        <v>10</v>
      </c>
      <c r="P24" s="29">
        <f t="shared" si="1"/>
        <v>0.1</v>
      </c>
      <c r="Q24" s="29">
        <f t="shared" si="2"/>
        <v>1.0000000000000002E-2</v>
      </c>
      <c r="R24" s="34">
        <v>2</v>
      </c>
      <c r="S24" s="24">
        <f t="shared" si="6"/>
        <v>2.0000000000000004E-2</v>
      </c>
      <c r="T24" s="25"/>
    </row>
    <row r="25" spans="1:20" x14ac:dyDescent="0.25">
      <c r="J25" s="7"/>
      <c r="K25" s="7" t="s">
        <v>9</v>
      </c>
      <c r="L25" s="8">
        <f>(SUM(L14:L24))*C8/2</f>
        <v>0.33500000000000008</v>
      </c>
      <c r="M25" s="10">
        <f>ABS($G$4-L25)/$G$4</f>
        <v>5.000000000000282E-3</v>
      </c>
      <c r="O25" s="23">
        <v>11</v>
      </c>
      <c r="P25" s="29">
        <f t="shared" si="1"/>
        <v>0.11</v>
      </c>
      <c r="Q25" s="29">
        <f t="shared" si="2"/>
        <v>1.21E-2</v>
      </c>
      <c r="R25" s="34">
        <v>2</v>
      </c>
      <c r="S25" s="24">
        <f t="shared" si="6"/>
        <v>2.4199999999999999E-2</v>
      </c>
      <c r="T25" s="25"/>
    </row>
    <row r="26" spans="1:20" x14ac:dyDescent="0.25">
      <c r="O26" s="23">
        <v>12</v>
      </c>
      <c r="P26" s="29">
        <f t="shared" si="1"/>
        <v>0.12</v>
      </c>
      <c r="Q26" s="29">
        <f t="shared" si="2"/>
        <v>1.44E-2</v>
      </c>
      <c r="R26" s="34">
        <v>2</v>
      </c>
      <c r="S26" s="24">
        <f t="shared" si="6"/>
        <v>2.8799999999999999E-2</v>
      </c>
      <c r="T26" s="25"/>
    </row>
    <row r="27" spans="1:20" x14ac:dyDescent="0.25">
      <c r="O27" s="23">
        <v>13</v>
      </c>
      <c r="P27" s="29">
        <f t="shared" si="1"/>
        <v>0.13</v>
      </c>
      <c r="Q27" s="29">
        <f t="shared" si="2"/>
        <v>1.6900000000000002E-2</v>
      </c>
      <c r="R27" s="34">
        <v>2</v>
      </c>
      <c r="S27" s="24">
        <f t="shared" si="6"/>
        <v>3.3800000000000004E-2</v>
      </c>
      <c r="T27" s="25"/>
    </row>
    <row r="28" spans="1:20" x14ac:dyDescent="0.25">
      <c r="A28" s="3" t="s">
        <v>14</v>
      </c>
      <c r="O28" s="23">
        <v>14</v>
      </c>
      <c r="P28" s="29">
        <f t="shared" si="1"/>
        <v>0.14000000000000001</v>
      </c>
      <c r="Q28" s="29">
        <f t="shared" si="2"/>
        <v>1.9600000000000003E-2</v>
      </c>
      <c r="R28" s="34">
        <v>2</v>
      </c>
      <c r="S28" s="24">
        <f t="shared" si="6"/>
        <v>3.9200000000000006E-2</v>
      </c>
      <c r="T28" s="25"/>
    </row>
    <row r="29" spans="1:20" x14ac:dyDescent="0.25">
      <c r="O29" s="23">
        <v>15</v>
      </c>
      <c r="P29" s="29">
        <f t="shared" si="1"/>
        <v>0.15</v>
      </c>
      <c r="Q29" s="29">
        <f t="shared" si="2"/>
        <v>2.2499999999999999E-2</v>
      </c>
      <c r="R29" s="34">
        <v>2</v>
      </c>
      <c r="S29" s="24">
        <f t="shared" si="6"/>
        <v>4.4999999999999998E-2</v>
      </c>
      <c r="T29" s="25"/>
    </row>
    <row r="30" spans="1:20" x14ac:dyDescent="0.25">
      <c r="O30" s="23">
        <v>16</v>
      </c>
      <c r="P30" s="29">
        <f t="shared" si="1"/>
        <v>0.16</v>
      </c>
      <c r="Q30" s="29">
        <f t="shared" si="2"/>
        <v>2.5600000000000001E-2</v>
      </c>
      <c r="R30" s="34">
        <v>2</v>
      </c>
      <c r="S30" s="24">
        <f t="shared" si="6"/>
        <v>5.1200000000000002E-2</v>
      </c>
      <c r="T30" s="25"/>
    </row>
    <row r="31" spans="1:20" x14ac:dyDescent="0.25">
      <c r="O31" s="23">
        <v>17</v>
      </c>
      <c r="P31" s="29">
        <f t="shared" si="1"/>
        <v>0.17</v>
      </c>
      <c r="Q31" s="29">
        <f t="shared" si="2"/>
        <v>2.8900000000000006E-2</v>
      </c>
      <c r="R31" s="34">
        <v>2</v>
      </c>
      <c r="S31" s="24">
        <f t="shared" si="6"/>
        <v>5.7800000000000011E-2</v>
      </c>
      <c r="T31" s="25"/>
    </row>
    <row r="32" spans="1:20" x14ac:dyDescent="0.25">
      <c r="O32" s="23">
        <v>18</v>
      </c>
      <c r="P32" s="29">
        <f t="shared" si="1"/>
        <v>0.18</v>
      </c>
      <c r="Q32" s="29">
        <f t="shared" si="2"/>
        <v>3.2399999999999998E-2</v>
      </c>
      <c r="R32" s="34">
        <v>2</v>
      </c>
      <c r="S32" s="24">
        <f t="shared" si="6"/>
        <v>6.4799999999999996E-2</v>
      </c>
      <c r="T32" s="25"/>
    </row>
    <row r="33" spans="15:20" x14ac:dyDescent="0.25">
      <c r="O33" s="23">
        <v>19</v>
      </c>
      <c r="P33" s="29">
        <f t="shared" si="1"/>
        <v>0.19</v>
      </c>
      <c r="Q33" s="29">
        <f t="shared" si="2"/>
        <v>3.61E-2</v>
      </c>
      <c r="R33" s="34">
        <v>2</v>
      </c>
      <c r="S33" s="24">
        <f t="shared" si="6"/>
        <v>7.22E-2</v>
      </c>
      <c r="T33" s="25"/>
    </row>
    <row r="34" spans="15:20" x14ac:dyDescent="0.25">
      <c r="O34" s="23">
        <v>20</v>
      </c>
      <c r="P34" s="29">
        <f t="shared" si="1"/>
        <v>0.2</v>
      </c>
      <c r="Q34" s="29">
        <f t="shared" si="2"/>
        <v>4.0000000000000008E-2</v>
      </c>
      <c r="R34" s="34">
        <v>2</v>
      </c>
      <c r="S34" s="24">
        <f t="shared" si="6"/>
        <v>8.0000000000000016E-2</v>
      </c>
      <c r="T34" s="25"/>
    </row>
    <row r="35" spans="15:20" x14ac:dyDescent="0.25">
      <c r="O35" s="23">
        <v>21</v>
      </c>
      <c r="P35" s="29">
        <f t="shared" si="1"/>
        <v>0.21</v>
      </c>
      <c r="Q35" s="29">
        <f t="shared" si="2"/>
        <v>4.4099999999999993E-2</v>
      </c>
      <c r="R35" s="34">
        <v>2</v>
      </c>
      <c r="S35" s="24">
        <f t="shared" si="6"/>
        <v>8.8199999999999987E-2</v>
      </c>
      <c r="T35" s="25"/>
    </row>
    <row r="36" spans="15:20" x14ac:dyDescent="0.25">
      <c r="O36" s="23">
        <v>22</v>
      </c>
      <c r="P36" s="29">
        <f t="shared" si="1"/>
        <v>0.22</v>
      </c>
      <c r="Q36" s="29">
        <f t="shared" si="2"/>
        <v>4.8399999999999999E-2</v>
      </c>
      <c r="R36" s="34">
        <v>2</v>
      </c>
      <c r="S36" s="24">
        <f t="shared" si="6"/>
        <v>9.6799999999999997E-2</v>
      </c>
      <c r="T36" s="25"/>
    </row>
    <row r="37" spans="15:20" x14ac:dyDescent="0.25">
      <c r="O37" s="23">
        <v>23</v>
      </c>
      <c r="P37" s="29">
        <f t="shared" si="1"/>
        <v>0.23</v>
      </c>
      <c r="Q37" s="29">
        <f t="shared" si="2"/>
        <v>5.2900000000000003E-2</v>
      </c>
      <c r="R37" s="34">
        <v>2</v>
      </c>
      <c r="S37" s="24">
        <f t="shared" si="6"/>
        <v>0.10580000000000001</v>
      </c>
      <c r="T37" s="25"/>
    </row>
    <row r="38" spans="15:20" x14ac:dyDescent="0.25">
      <c r="O38" s="23">
        <v>24</v>
      </c>
      <c r="P38" s="29">
        <f t="shared" si="1"/>
        <v>0.24</v>
      </c>
      <c r="Q38" s="29">
        <f t="shared" si="2"/>
        <v>5.7599999999999998E-2</v>
      </c>
      <c r="R38" s="34">
        <v>2</v>
      </c>
      <c r="S38" s="24">
        <f t="shared" si="6"/>
        <v>0.1152</v>
      </c>
      <c r="T38" s="25"/>
    </row>
    <row r="39" spans="15:20" x14ac:dyDescent="0.25">
      <c r="O39" s="23">
        <v>25</v>
      </c>
      <c r="P39" s="29">
        <f t="shared" si="1"/>
        <v>0.25</v>
      </c>
      <c r="Q39" s="29">
        <f t="shared" si="2"/>
        <v>6.25E-2</v>
      </c>
      <c r="R39" s="34">
        <v>2</v>
      </c>
      <c r="S39" s="24">
        <f t="shared" si="6"/>
        <v>0.125</v>
      </c>
      <c r="T39" s="25"/>
    </row>
    <row r="40" spans="15:20" x14ac:dyDescent="0.25">
      <c r="O40" s="23">
        <v>26</v>
      </c>
      <c r="P40" s="29">
        <f t="shared" si="1"/>
        <v>0.26</v>
      </c>
      <c r="Q40" s="29">
        <f t="shared" si="2"/>
        <v>6.7600000000000007E-2</v>
      </c>
      <c r="R40" s="34">
        <v>2</v>
      </c>
      <c r="S40" s="24">
        <f t="shared" si="6"/>
        <v>0.13520000000000001</v>
      </c>
      <c r="T40" s="25"/>
    </row>
    <row r="41" spans="15:20" x14ac:dyDescent="0.25">
      <c r="O41" s="23">
        <v>27</v>
      </c>
      <c r="P41" s="29">
        <f t="shared" si="1"/>
        <v>0.27</v>
      </c>
      <c r="Q41" s="29">
        <f t="shared" si="2"/>
        <v>7.2900000000000006E-2</v>
      </c>
      <c r="R41" s="34">
        <v>2</v>
      </c>
      <c r="S41" s="24">
        <f t="shared" si="6"/>
        <v>0.14580000000000001</v>
      </c>
      <c r="T41" s="25"/>
    </row>
    <row r="42" spans="15:20" x14ac:dyDescent="0.25">
      <c r="O42" s="23">
        <v>28</v>
      </c>
      <c r="P42" s="29">
        <f t="shared" si="1"/>
        <v>0.28000000000000003</v>
      </c>
      <c r="Q42" s="29">
        <f t="shared" si="2"/>
        <v>7.8400000000000011E-2</v>
      </c>
      <c r="R42" s="34">
        <v>2</v>
      </c>
      <c r="S42" s="24">
        <f t="shared" si="6"/>
        <v>0.15680000000000002</v>
      </c>
      <c r="T42" s="25"/>
    </row>
    <row r="43" spans="15:20" x14ac:dyDescent="0.25">
      <c r="O43" s="23">
        <v>29</v>
      </c>
      <c r="P43" s="29">
        <f t="shared" si="1"/>
        <v>0.28999999999999998</v>
      </c>
      <c r="Q43" s="29">
        <f t="shared" si="2"/>
        <v>8.4099999999999994E-2</v>
      </c>
      <c r="R43" s="34">
        <v>2</v>
      </c>
      <c r="S43" s="24">
        <f t="shared" si="6"/>
        <v>0.16819999999999999</v>
      </c>
      <c r="T43" s="25"/>
    </row>
    <row r="44" spans="15:20" x14ac:dyDescent="0.25">
      <c r="O44" s="23">
        <v>30</v>
      </c>
      <c r="P44" s="29">
        <f t="shared" si="1"/>
        <v>0.3</v>
      </c>
      <c r="Q44" s="29">
        <f t="shared" si="2"/>
        <v>0.09</v>
      </c>
      <c r="R44" s="34">
        <v>2</v>
      </c>
      <c r="S44" s="24">
        <f t="shared" si="6"/>
        <v>0.18</v>
      </c>
      <c r="T44" s="25"/>
    </row>
    <row r="45" spans="15:20" x14ac:dyDescent="0.25">
      <c r="O45" s="23">
        <v>31</v>
      </c>
      <c r="P45" s="29">
        <f t="shared" si="1"/>
        <v>0.31</v>
      </c>
      <c r="Q45" s="29">
        <f t="shared" si="2"/>
        <v>9.6100000000000005E-2</v>
      </c>
      <c r="R45" s="34">
        <v>2</v>
      </c>
      <c r="S45" s="24">
        <f t="shared" si="6"/>
        <v>0.19220000000000001</v>
      </c>
      <c r="T45" s="25"/>
    </row>
    <row r="46" spans="15:20" x14ac:dyDescent="0.25">
      <c r="O46" s="23">
        <v>32</v>
      </c>
      <c r="P46" s="29">
        <f t="shared" ref="P46:P77" si="10">$B$4+O46*$D$8</f>
        <v>0.32</v>
      </c>
      <c r="Q46" s="29">
        <f t="shared" si="2"/>
        <v>0.1024</v>
      </c>
      <c r="R46" s="34">
        <v>2</v>
      </c>
      <c r="S46" s="24">
        <f t="shared" si="6"/>
        <v>0.20480000000000001</v>
      </c>
      <c r="T46" s="25"/>
    </row>
    <row r="47" spans="15:20" x14ac:dyDescent="0.25">
      <c r="O47" s="23">
        <v>33</v>
      </c>
      <c r="P47" s="29">
        <f t="shared" si="10"/>
        <v>0.33</v>
      </c>
      <c r="Q47" s="29">
        <f t="shared" si="2"/>
        <v>0.10890000000000001</v>
      </c>
      <c r="R47" s="34">
        <v>2</v>
      </c>
      <c r="S47" s="24">
        <f t="shared" si="6"/>
        <v>0.21780000000000002</v>
      </c>
      <c r="T47" s="25"/>
    </row>
    <row r="48" spans="15:20" x14ac:dyDescent="0.25">
      <c r="O48" s="23">
        <v>34</v>
      </c>
      <c r="P48" s="29">
        <f t="shared" si="10"/>
        <v>0.34</v>
      </c>
      <c r="Q48" s="29">
        <f t="shared" si="2"/>
        <v>0.11560000000000002</v>
      </c>
      <c r="R48" s="34">
        <v>2</v>
      </c>
      <c r="S48" s="24">
        <f t="shared" si="6"/>
        <v>0.23120000000000004</v>
      </c>
      <c r="T48" s="25"/>
    </row>
    <row r="49" spans="15:20" x14ac:dyDescent="0.25">
      <c r="O49" s="23">
        <v>35</v>
      </c>
      <c r="P49" s="29">
        <f t="shared" si="10"/>
        <v>0.35000000000000003</v>
      </c>
      <c r="Q49" s="29">
        <f t="shared" si="2"/>
        <v>0.12250000000000003</v>
      </c>
      <c r="R49" s="34">
        <v>2</v>
      </c>
      <c r="S49" s="24">
        <f t="shared" si="6"/>
        <v>0.24500000000000005</v>
      </c>
      <c r="T49" s="25"/>
    </row>
    <row r="50" spans="15:20" x14ac:dyDescent="0.25">
      <c r="O50" s="23">
        <v>36</v>
      </c>
      <c r="P50" s="29">
        <f t="shared" si="10"/>
        <v>0.36</v>
      </c>
      <c r="Q50" s="29">
        <f t="shared" si="2"/>
        <v>0.12959999999999999</v>
      </c>
      <c r="R50" s="34">
        <v>2</v>
      </c>
      <c r="S50" s="24">
        <f t="shared" si="6"/>
        <v>0.25919999999999999</v>
      </c>
      <c r="T50" s="25"/>
    </row>
    <row r="51" spans="15:20" x14ac:dyDescent="0.25">
      <c r="O51" s="23">
        <v>37</v>
      </c>
      <c r="P51" s="29">
        <f t="shared" si="10"/>
        <v>0.37</v>
      </c>
      <c r="Q51" s="29">
        <f t="shared" si="2"/>
        <v>0.13689999999999999</v>
      </c>
      <c r="R51" s="34">
        <v>2</v>
      </c>
      <c r="S51" s="24">
        <f t="shared" si="6"/>
        <v>0.27379999999999999</v>
      </c>
      <c r="T51" s="25"/>
    </row>
    <row r="52" spans="15:20" x14ac:dyDescent="0.25">
      <c r="O52" s="23">
        <v>38</v>
      </c>
      <c r="P52" s="29">
        <f t="shared" si="10"/>
        <v>0.38</v>
      </c>
      <c r="Q52" s="29">
        <f t="shared" si="2"/>
        <v>0.1444</v>
      </c>
      <c r="R52" s="34">
        <v>2</v>
      </c>
      <c r="S52" s="24">
        <f t="shared" si="6"/>
        <v>0.2888</v>
      </c>
      <c r="T52" s="25"/>
    </row>
    <row r="53" spans="15:20" x14ac:dyDescent="0.25">
      <c r="O53" s="23">
        <v>39</v>
      </c>
      <c r="P53" s="29">
        <f t="shared" si="10"/>
        <v>0.39</v>
      </c>
      <c r="Q53" s="29">
        <f t="shared" si="2"/>
        <v>0.15210000000000001</v>
      </c>
      <c r="R53" s="34">
        <v>2</v>
      </c>
      <c r="S53" s="24">
        <f t="shared" si="6"/>
        <v>0.30420000000000003</v>
      </c>
      <c r="T53" s="25"/>
    </row>
    <row r="54" spans="15:20" x14ac:dyDescent="0.25">
      <c r="O54" s="23">
        <v>40</v>
      </c>
      <c r="P54" s="29">
        <f t="shared" si="10"/>
        <v>0.4</v>
      </c>
      <c r="Q54" s="29">
        <f t="shared" si="2"/>
        <v>0.16000000000000003</v>
      </c>
      <c r="R54" s="34">
        <v>2</v>
      </c>
      <c r="S54" s="24">
        <f t="shared" si="6"/>
        <v>0.32000000000000006</v>
      </c>
      <c r="T54" s="25"/>
    </row>
    <row r="55" spans="15:20" x14ac:dyDescent="0.25">
      <c r="O55" s="23">
        <v>41</v>
      </c>
      <c r="P55" s="29">
        <f t="shared" si="10"/>
        <v>0.41000000000000003</v>
      </c>
      <c r="Q55" s="29">
        <f t="shared" si="2"/>
        <v>0.16810000000000003</v>
      </c>
      <c r="R55" s="34">
        <v>2</v>
      </c>
      <c r="S55" s="24">
        <f t="shared" si="6"/>
        <v>0.33620000000000005</v>
      </c>
      <c r="T55" s="25"/>
    </row>
    <row r="56" spans="15:20" x14ac:dyDescent="0.25">
      <c r="O56" s="23">
        <v>42</v>
      </c>
      <c r="P56" s="29">
        <f t="shared" si="10"/>
        <v>0.42</v>
      </c>
      <c r="Q56" s="29">
        <f t="shared" si="2"/>
        <v>0.17639999999999997</v>
      </c>
      <c r="R56" s="34">
        <v>2</v>
      </c>
      <c r="S56" s="24">
        <f t="shared" si="6"/>
        <v>0.35279999999999995</v>
      </c>
      <c r="T56" s="25"/>
    </row>
    <row r="57" spans="15:20" x14ac:dyDescent="0.25">
      <c r="O57" s="23">
        <v>43</v>
      </c>
      <c r="P57" s="29">
        <f t="shared" si="10"/>
        <v>0.43</v>
      </c>
      <c r="Q57" s="29">
        <f t="shared" si="2"/>
        <v>0.18489999999999998</v>
      </c>
      <c r="R57" s="34">
        <v>2</v>
      </c>
      <c r="S57" s="24">
        <f t="shared" si="6"/>
        <v>0.36979999999999996</v>
      </c>
      <c r="T57" s="25"/>
    </row>
    <row r="58" spans="15:20" x14ac:dyDescent="0.25">
      <c r="O58" s="23">
        <v>44</v>
      </c>
      <c r="P58" s="29">
        <f t="shared" si="10"/>
        <v>0.44</v>
      </c>
      <c r="Q58" s="29">
        <f t="shared" si="2"/>
        <v>0.19359999999999999</v>
      </c>
      <c r="R58" s="34">
        <v>2</v>
      </c>
      <c r="S58" s="24">
        <f t="shared" si="6"/>
        <v>0.38719999999999999</v>
      </c>
      <c r="T58" s="25"/>
    </row>
    <row r="59" spans="15:20" x14ac:dyDescent="0.25">
      <c r="O59" s="23">
        <v>45</v>
      </c>
      <c r="P59" s="29">
        <f t="shared" si="10"/>
        <v>0.45</v>
      </c>
      <c r="Q59" s="29">
        <f t="shared" si="2"/>
        <v>0.20250000000000001</v>
      </c>
      <c r="R59" s="34">
        <v>2</v>
      </c>
      <c r="S59" s="24">
        <f t="shared" si="6"/>
        <v>0.40500000000000003</v>
      </c>
      <c r="T59" s="25"/>
    </row>
    <row r="60" spans="15:20" x14ac:dyDescent="0.25">
      <c r="O60" s="23">
        <v>46</v>
      </c>
      <c r="P60" s="29">
        <f t="shared" si="10"/>
        <v>0.46</v>
      </c>
      <c r="Q60" s="29">
        <f t="shared" si="2"/>
        <v>0.21160000000000001</v>
      </c>
      <c r="R60" s="34">
        <v>2</v>
      </c>
      <c r="S60" s="24">
        <f t="shared" si="6"/>
        <v>0.42320000000000002</v>
      </c>
      <c r="T60" s="25"/>
    </row>
    <row r="61" spans="15:20" x14ac:dyDescent="0.25">
      <c r="O61" s="23">
        <v>47</v>
      </c>
      <c r="P61" s="29">
        <f t="shared" si="10"/>
        <v>0.47000000000000003</v>
      </c>
      <c r="Q61" s="29">
        <f t="shared" si="2"/>
        <v>0.22090000000000004</v>
      </c>
      <c r="R61" s="34">
        <v>2</v>
      </c>
      <c r="S61" s="24">
        <f t="shared" si="6"/>
        <v>0.44180000000000008</v>
      </c>
      <c r="T61" s="25"/>
    </row>
    <row r="62" spans="15:20" x14ac:dyDescent="0.25">
      <c r="O62" s="23">
        <v>48</v>
      </c>
      <c r="P62" s="29">
        <f t="shared" si="10"/>
        <v>0.48</v>
      </c>
      <c r="Q62" s="29">
        <f t="shared" si="2"/>
        <v>0.23039999999999999</v>
      </c>
      <c r="R62" s="34">
        <v>2</v>
      </c>
      <c r="S62" s="24">
        <f t="shared" si="6"/>
        <v>0.46079999999999999</v>
      </c>
      <c r="T62" s="25"/>
    </row>
    <row r="63" spans="15:20" x14ac:dyDescent="0.25">
      <c r="O63" s="23">
        <v>49</v>
      </c>
      <c r="P63" s="29">
        <f t="shared" si="10"/>
        <v>0.49</v>
      </c>
      <c r="Q63" s="29">
        <f t="shared" si="2"/>
        <v>0.24009999999999998</v>
      </c>
      <c r="R63" s="34">
        <v>2</v>
      </c>
      <c r="S63" s="24">
        <f t="shared" si="6"/>
        <v>0.48019999999999996</v>
      </c>
      <c r="T63" s="25"/>
    </row>
    <row r="64" spans="15:20" x14ac:dyDescent="0.25">
      <c r="O64" s="23">
        <v>50</v>
      </c>
      <c r="P64" s="29">
        <f t="shared" si="10"/>
        <v>0.5</v>
      </c>
      <c r="Q64" s="29">
        <f t="shared" si="2"/>
        <v>0.25</v>
      </c>
      <c r="R64" s="34">
        <v>2</v>
      </c>
      <c r="S64" s="24">
        <f t="shared" si="6"/>
        <v>0.5</v>
      </c>
      <c r="T64" s="25"/>
    </row>
    <row r="65" spans="15:20" x14ac:dyDescent="0.25">
      <c r="O65" s="23">
        <v>51</v>
      </c>
      <c r="P65" s="29">
        <f t="shared" si="10"/>
        <v>0.51</v>
      </c>
      <c r="Q65" s="29">
        <f t="shared" si="2"/>
        <v>0.2601</v>
      </c>
      <c r="R65" s="34">
        <v>2</v>
      </c>
      <c r="S65" s="24">
        <f t="shared" si="6"/>
        <v>0.5202</v>
      </c>
      <c r="T65" s="25"/>
    </row>
    <row r="66" spans="15:20" x14ac:dyDescent="0.25">
      <c r="O66" s="23">
        <v>52</v>
      </c>
      <c r="P66" s="29">
        <f t="shared" si="10"/>
        <v>0.52</v>
      </c>
      <c r="Q66" s="29">
        <f t="shared" si="2"/>
        <v>0.27040000000000003</v>
      </c>
      <c r="R66" s="34">
        <v>2</v>
      </c>
      <c r="S66" s="24">
        <f t="shared" si="6"/>
        <v>0.54080000000000006</v>
      </c>
      <c r="T66" s="25"/>
    </row>
    <row r="67" spans="15:20" x14ac:dyDescent="0.25">
      <c r="O67" s="23">
        <v>53</v>
      </c>
      <c r="P67" s="29">
        <f t="shared" si="10"/>
        <v>0.53</v>
      </c>
      <c r="Q67" s="29">
        <f t="shared" si="2"/>
        <v>0.28090000000000004</v>
      </c>
      <c r="R67" s="34">
        <v>2</v>
      </c>
      <c r="S67" s="24">
        <f t="shared" si="6"/>
        <v>0.56180000000000008</v>
      </c>
      <c r="T67" s="25"/>
    </row>
    <row r="68" spans="15:20" x14ac:dyDescent="0.25">
      <c r="O68" s="23">
        <v>54</v>
      </c>
      <c r="P68" s="29">
        <f t="shared" si="10"/>
        <v>0.54</v>
      </c>
      <c r="Q68" s="29">
        <f t="shared" si="2"/>
        <v>0.29160000000000003</v>
      </c>
      <c r="R68" s="34">
        <v>2</v>
      </c>
      <c r="S68" s="24">
        <f t="shared" si="6"/>
        <v>0.58320000000000005</v>
      </c>
      <c r="T68" s="25"/>
    </row>
    <row r="69" spans="15:20" x14ac:dyDescent="0.25">
      <c r="O69" s="23">
        <v>55</v>
      </c>
      <c r="P69" s="29">
        <f t="shared" si="10"/>
        <v>0.55000000000000004</v>
      </c>
      <c r="Q69" s="29">
        <f t="shared" si="2"/>
        <v>0.30250000000000005</v>
      </c>
      <c r="R69" s="34">
        <v>2</v>
      </c>
      <c r="S69" s="24">
        <f t="shared" si="6"/>
        <v>0.60500000000000009</v>
      </c>
      <c r="T69" s="25"/>
    </row>
    <row r="70" spans="15:20" x14ac:dyDescent="0.25">
      <c r="O70" s="23">
        <v>56</v>
      </c>
      <c r="P70" s="29">
        <f t="shared" si="10"/>
        <v>0.56000000000000005</v>
      </c>
      <c r="Q70" s="29">
        <f t="shared" si="2"/>
        <v>0.31360000000000005</v>
      </c>
      <c r="R70" s="34">
        <v>2</v>
      </c>
      <c r="S70" s="24">
        <f t="shared" si="6"/>
        <v>0.62720000000000009</v>
      </c>
      <c r="T70" s="25"/>
    </row>
    <row r="71" spans="15:20" x14ac:dyDescent="0.25">
      <c r="O71" s="23">
        <v>57</v>
      </c>
      <c r="P71" s="29">
        <f t="shared" si="10"/>
        <v>0.57000000000000006</v>
      </c>
      <c r="Q71" s="29">
        <f t="shared" si="2"/>
        <v>0.32490000000000008</v>
      </c>
      <c r="R71" s="34">
        <v>2</v>
      </c>
      <c r="S71" s="24">
        <f t="shared" si="6"/>
        <v>0.64980000000000016</v>
      </c>
      <c r="T71" s="25"/>
    </row>
    <row r="72" spans="15:20" x14ac:dyDescent="0.25">
      <c r="O72" s="23">
        <v>58</v>
      </c>
      <c r="P72" s="29">
        <f t="shared" si="10"/>
        <v>0.57999999999999996</v>
      </c>
      <c r="Q72" s="29">
        <f t="shared" si="2"/>
        <v>0.33639999999999998</v>
      </c>
      <c r="R72" s="34">
        <v>2</v>
      </c>
      <c r="S72" s="24">
        <f t="shared" si="6"/>
        <v>0.67279999999999995</v>
      </c>
      <c r="T72" s="25"/>
    </row>
    <row r="73" spans="15:20" x14ac:dyDescent="0.25">
      <c r="O73" s="23">
        <v>59</v>
      </c>
      <c r="P73" s="29">
        <f t="shared" si="10"/>
        <v>0.59</v>
      </c>
      <c r="Q73" s="29">
        <f t="shared" si="2"/>
        <v>0.34809999999999997</v>
      </c>
      <c r="R73" s="34">
        <v>2</v>
      </c>
      <c r="S73" s="24">
        <f t="shared" si="6"/>
        <v>0.69619999999999993</v>
      </c>
      <c r="T73" s="25"/>
    </row>
    <row r="74" spans="15:20" x14ac:dyDescent="0.25">
      <c r="O74" s="23">
        <v>60</v>
      </c>
      <c r="P74" s="29">
        <f t="shared" si="10"/>
        <v>0.6</v>
      </c>
      <c r="Q74" s="29">
        <f t="shared" si="2"/>
        <v>0.36</v>
      </c>
      <c r="R74" s="34">
        <v>2</v>
      </c>
      <c r="S74" s="24">
        <f t="shared" si="6"/>
        <v>0.72</v>
      </c>
      <c r="T74" s="25"/>
    </row>
    <row r="75" spans="15:20" x14ac:dyDescent="0.25">
      <c r="O75" s="23">
        <v>61</v>
      </c>
      <c r="P75" s="29">
        <f t="shared" si="10"/>
        <v>0.61</v>
      </c>
      <c r="Q75" s="29">
        <f t="shared" si="2"/>
        <v>0.37209999999999999</v>
      </c>
      <c r="R75" s="34">
        <v>2</v>
      </c>
      <c r="S75" s="24">
        <f t="shared" si="6"/>
        <v>0.74419999999999997</v>
      </c>
      <c r="T75" s="25"/>
    </row>
    <row r="76" spans="15:20" x14ac:dyDescent="0.25">
      <c r="O76" s="23">
        <v>62</v>
      </c>
      <c r="P76" s="29">
        <f t="shared" si="10"/>
        <v>0.62</v>
      </c>
      <c r="Q76" s="29">
        <f t="shared" si="2"/>
        <v>0.38440000000000002</v>
      </c>
      <c r="R76" s="34">
        <v>2</v>
      </c>
      <c r="S76" s="24">
        <f t="shared" si="6"/>
        <v>0.76880000000000004</v>
      </c>
      <c r="T76" s="25"/>
    </row>
    <row r="77" spans="15:20" x14ac:dyDescent="0.25">
      <c r="O77" s="23">
        <v>63</v>
      </c>
      <c r="P77" s="29">
        <f t="shared" si="10"/>
        <v>0.63</v>
      </c>
      <c r="Q77" s="29">
        <f t="shared" si="2"/>
        <v>0.39690000000000003</v>
      </c>
      <c r="R77" s="34">
        <v>2</v>
      </c>
      <c r="S77" s="24">
        <f t="shared" si="6"/>
        <v>0.79380000000000006</v>
      </c>
      <c r="T77" s="25"/>
    </row>
    <row r="78" spans="15:20" x14ac:dyDescent="0.25">
      <c r="O78" s="23">
        <v>64</v>
      </c>
      <c r="P78" s="29">
        <f t="shared" ref="P78:P109" si="11">$B$4+O78*$D$8</f>
        <v>0.64</v>
      </c>
      <c r="Q78" s="29">
        <f t="shared" si="2"/>
        <v>0.40960000000000002</v>
      </c>
      <c r="R78" s="34">
        <v>2</v>
      </c>
      <c r="S78" s="24">
        <f t="shared" si="6"/>
        <v>0.81920000000000004</v>
      </c>
      <c r="T78" s="25"/>
    </row>
    <row r="79" spans="15:20" x14ac:dyDescent="0.25">
      <c r="O79" s="23">
        <v>65</v>
      </c>
      <c r="P79" s="29">
        <f t="shared" si="11"/>
        <v>0.65</v>
      </c>
      <c r="Q79" s="29">
        <f t="shared" ref="Q79:Q114" si="12">P79^2</f>
        <v>0.42250000000000004</v>
      </c>
      <c r="R79" s="34">
        <v>2</v>
      </c>
      <c r="S79" s="24">
        <f t="shared" si="6"/>
        <v>0.84500000000000008</v>
      </c>
      <c r="T79" s="25"/>
    </row>
    <row r="80" spans="15:20" x14ac:dyDescent="0.25">
      <c r="O80" s="23">
        <v>66</v>
      </c>
      <c r="P80" s="29">
        <f t="shared" si="11"/>
        <v>0.66</v>
      </c>
      <c r="Q80" s="29">
        <f t="shared" si="12"/>
        <v>0.43560000000000004</v>
      </c>
      <c r="R80" s="34">
        <v>2</v>
      </c>
      <c r="S80" s="24">
        <f t="shared" ref="S80:S114" si="13">R80*Q80</f>
        <v>0.87120000000000009</v>
      </c>
      <c r="T80" s="25"/>
    </row>
    <row r="81" spans="15:20" x14ac:dyDescent="0.25">
      <c r="O81" s="23">
        <v>67</v>
      </c>
      <c r="P81" s="29">
        <f t="shared" si="11"/>
        <v>0.67</v>
      </c>
      <c r="Q81" s="29">
        <f t="shared" si="12"/>
        <v>0.44890000000000008</v>
      </c>
      <c r="R81" s="34">
        <v>2</v>
      </c>
      <c r="S81" s="24">
        <f t="shared" si="13"/>
        <v>0.89780000000000015</v>
      </c>
      <c r="T81" s="25"/>
    </row>
    <row r="82" spans="15:20" x14ac:dyDescent="0.25">
      <c r="O82" s="23">
        <v>68</v>
      </c>
      <c r="P82" s="29">
        <f t="shared" si="11"/>
        <v>0.68</v>
      </c>
      <c r="Q82" s="29">
        <f t="shared" si="12"/>
        <v>0.46240000000000009</v>
      </c>
      <c r="R82" s="34">
        <v>2</v>
      </c>
      <c r="S82" s="24">
        <f t="shared" si="13"/>
        <v>0.92480000000000018</v>
      </c>
      <c r="T82" s="25"/>
    </row>
    <row r="83" spans="15:20" x14ac:dyDescent="0.25">
      <c r="O83" s="23">
        <v>69</v>
      </c>
      <c r="P83" s="29">
        <f t="shared" si="11"/>
        <v>0.69000000000000006</v>
      </c>
      <c r="Q83" s="29">
        <f t="shared" si="12"/>
        <v>0.47610000000000008</v>
      </c>
      <c r="R83" s="34">
        <v>2</v>
      </c>
      <c r="S83" s="24">
        <f t="shared" si="13"/>
        <v>0.95220000000000016</v>
      </c>
      <c r="T83" s="25"/>
    </row>
    <row r="84" spans="15:20" x14ac:dyDescent="0.25">
      <c r="O84" s="23">
        <v>70</v>
      </c>
      <c r="P84" s="29">
        <f t="shared" si="11"/>
        <v>0.70000000000000007</v>
      </c>
      <c r="Q84" s="29">
        <f t="shared" si="12"/>
        <v>0.4900000000000001</v>
      </c>
      <c r="R84" s="34">
        <v>2</v>
      </c>
      <c r="S84" s="24">
        <f t="shared" si="13"/>
        <v>0.9800000000000002</v>
      </c>
      <c r="T84" s="25"/>
    </row>
    <row r="85" spans="15:20" x14ac:dyDescent="0.25">
      <c r="O85" s="23">
        <v>71</v>
      </c>
      <c r="P85" s="29">
        <f t="shared" si="11"/>
        <v>0.71</v>
      </c>
      <c r="Q85" s="29">
        <f t="shared" si="12"/>
        <v>0.50409999999999999</v>
      </c>
      <c r="R85" s="34">
        <v>2</v>
      </c>
      <c r="S85" s="24">
        <f t="shared" si="13"/>
        <v>1.0082</v>
      </c>
      <c r="T85" s="25"/>
    </row>
    <row r="86" spans="15:20" x14ac:dyDescent="0.25">
      <c r="O86" s="23">
        <v>72</v>
      </c>
      <c r="P86" s="29">
        <f t="shared" si="11"/>
        <v>0.72</v>
      </c>
      <c r="Q86" s="29">
        <f t="shared" si="12"/>
        <v>0.51839999999999997</v>
      </c>
      <c r="R86" s="34">
        <v>2</v>
      </c>
      <c r="S86" s="24">
        <f t="shared" si="13"/>
        <v>1.0367999999999999</v>
      </c>
      <c r="T86" s="25"/>
    </row>
    <row r="87" spans="15:20" x14ac:dyDescent="0.25">
      <c r="O87" s="23">
        <v>73</v>
      </c>
      <c r="P87" s="29">
        <f t="shared" si="11"/>
        <v>0.73</v>
      </c>
      <c r="Q87" s="29">
        <f t="shared" si="12"/>
        <v>0.53289999999999993</v>
      </c>
      <c r="R87" s="34">
        <v>2</v>
      </c>
      <c r="S87" s="24">
        <f t="shared" si="13"/>
        <v>1.0657999999999999</v>
      </c>
      <c r="T87" s="25"/>
    </row>
    <row r="88" spans="15:20" x14ac:dyDescent="0.25">
      <c r="O88" s="23">
        <v>74</v>
      </c>
      <c r="P88" s="29">
        <f t="shared" si="11"/>
        <v>0.74</v>
      </c>
      <c r="Q88" s="29">
        <f t="shared" si="12"/>
        <v>0.54759999999999998</v>
      </c>
      <c r="R88" s="34">
        <v>2</v>
      </c>
      <c r="S88" s="24">
        <f t="shared" si="13"/>
        <v>1.0952</v>
      </c>
      <c r="T88" s="25"/>
    </row>
    <row r="89" spans="15:20" x14ac:dyDescent="0.25">
      <c r="O89" s="23">
        <v>75</v>
      </c>
      <c r="P89" s="29">
        <f t="shared" si="11"/>
        <v>0.75</v>
      </c>
      <c r="Q89" s="29">
        <f t="shared" si="12"/>
        <v>0.5625</v>
      </c>
      <c r="R89" s="34">
        <v>2</v>
      </c>
      <c r="S89" s="24">
        <f t="shared" si="13"/>
        <v>1.125</v>
      </c>
      <c r="T89" s="25"/>
    </row>
    <row r="90" spans="15:20" x14ac:dyDescent="0.25">
      <c r="O90" s="23">
        <v>76</v>
      </c>
      <c r="P90" s="29">
        <f t="shared" si="11"/>
        <v>0.76</v>
      </c>
      <c r="Q90" s="29">
        <f t="shared" si="12"/>
        <v>0.5776</v>
      </c>
      <c r="R90" s="34">
        <v>2</v>
      </c>
      <c r="S90" s="24">
        <f t="shared" si="13"/>
        <v>1.1552</v>
      </c>
      <c r="T90" s="25"/>
    </row>
    <row r="91" spans="15:20" x14ac:dyDescent="0.25">
      <c r="O91" s="23">
        <v>77</v>
      </c>
      <c r="P91" s="29">
        <f t="shared" si="11"/>
        <v>0.77</v>
      </c>
      <c r="Q91" s="29">
        <f t="shared" si="12"/>
        <v>0.59289999999999998</v>
      </c>
      <c r="R91" s="34">
        <v>2</v>
      </c>
      <c r="S91" s="24">
        <f t="shared" si="13"/>
        <v>1.1858</v>
      </c>
      <c r="T91" s="25"/>
    </row>
    <row r="92" spans="15:20" x14ac:dyDescent="0.25">
      <c r="O92" s="23">
        <v>78</v>
      </c>
      <c r="P92" s="29">
        <f t="shared" si="11"/>
        <v>0.78</v>
      </c>
      <c r="Q92" s="29">
        <f t="shared" si="12"/>
        <v>0.60840000000000005</v>
      </c>
      <c r="R92" s="34">
        <v>2</v>
      </c>
      <c r="S92" s="24">
        <f t="shared" si="13"/>
        <v>1.2168000000000001</v>
      </c>
      <c r="T92" s="25"/>
    </row>
    <row r="93" spans="15:20" x14ac:dyDescent="0.25">
      <c r="O93" s="23">
        <v>79</v>
      </c>
      <c r="P93" s="29">
        <f t="shared" si="11"/>
        <v>0.79</v>
      </c>
      <c r="Q93" s="29">
        <f t="shared" si="12"/>
        <v>0.6241000000000001</v>
      </c>
      <c r="R93" s="34">
        <v>2</v>
      </c>
      <c r="S93" s="24">
        <f t="shared" si="13"/>
        <v>1.2482000000000002</v>
      </c>
      <c r="T93" s="25"/>
    </row>
    <row r="94" spans="15:20" x14ac:dyDescent="0.25">
      <c r="O94" s="23">
        <v>80</v>
      </c>
      <c r="P94" s="29">
        <f t="shared" si="11"/>
        <v>0.8</v>
      </c>
      <c r="Q94" s="29">
        <f t="shared" si="12"/>
        <v>0.64000000000000012</v>
      </c>
      <c r="R94" s="34">
        <v>2</v>
      </c>
      <c r="S94" s="24">
        <f t="shared" si="13"/>
        <v>1.2800000000000002</v>
      </c>
      <c r="T94" s="25"/>
    </row>
    <row r="95" spans="15:20" x14ac:dyDescent="0.25">
      <c r="O95" s="23">
        <v>81</v>
      </c>
      <c r="P95" s="29">
        <f t="shared" si="11"/>
        <v>0.81</v>
      </c>
      <c r="Q95" s="29">
        <f t="shared" si="12"/>
        <v>0.65610000000000013</v>
      </c>
      <c r="R95" s="34">
        <v>2</v>
      </c>
      <c r="S95" s="24">
        <f t="shared" si="13"/>
        <v>1.3122000000000003</v>
      </c>
      <c r="T95" s="25"/>
    </row>
    <row r="96" spans="15:20" x14ac:dyDescent="0.25">
      <c r="O96" s="23">
        <v>82</v>
      </c>
      <c r="P96" s="29">
        <f t="shared" si="11"/>
        <v>0.82000000000000006</v>
      </c>
      <c r="Q96" s="29">
        <f t="shared" si="12"/>
        <v>0.67240000000000011</v>
      </c>
      <c r="R96" s="34">
        <v>2</v>
      </c>
      <c r="S96" s="24">
        <f t="shared" si="13"/>
        <v>1.3448000000000002</v>
      </c>
      <c r="T96" s="25"/>
    </row>
    <row r="97" spans="15:20" x14ac:dyDescent="0.25">
      <c r="O97" s="23">
        <v>83</v>
      </c>
      <c r="P97" s="29">
        <f t="shared" si="11"/>
        <v>0.83000000000000007</v>
      </c>
      <c r="Q97" s="29">
        <f t="shared" si="12"/>
        <v>0.68890000000000007</v>
      </c>
      <c r="R97" s="34">
        <v>2</v>
      </c>
      <c r="S97" s="24">
        <f t="shared" si="13"/>
        <v>1.3778000000000001</v>
      </c>
      <c r="T97" s="25"/>
    </row>
    <row r="98" spans="15:20" x14ac:dyDescent="0.25">
      <c r="O98" s="23">
        <v>84</v>
      </c>
      <c r="P98" s="29">
        <f t="shared" si="11"/>
        <v>0.84</v>
      </c>
      <c r="Q98" s="29">
        <f t="shared" si="12"/>
        <v>0.70559999999999989</v>
      </c>
      <c r="R98" s="34">
        <v>2</v>
      </c>
      <c r="S98" s="24">
        <f t="shared" si="13"/>
        <v>1.4111999999999998</v>
      </c>
      <c r="T98" s="25"/>
    </row>
    <row r="99" spans="15:20" x14ac:dyDescent="0.25">
      <c r="O99" s="23">
        <v>85</v>
      </c>
      <c r="P99" s="29">
        <f t="shared" si="11"/>
        <v>0.85</v>
      </c>
      <c r="Q99" s="29">
        <f t="shared" si="12"/>
        <v>0.72249999999999992</v>
      </c>
      <c r="R99" s="34">
        <v>2</v>
      </c>
      <c r="S99" s="24">
        <f t="shared" si="13"/>
        <v>1.4449999999999998</v>
      </c>
      <c r="T99" s="25"/>
    </row>
    <row r="100" spans="15:20" x14ac:dyDescent="0.25">
      <c r="O100" s="23">
        <v>86</v>
      </c>
      <c r="P100" s="29">
        <f t="shared" si="11"/>
        <v>0.86</v>
      </c>
      <c r="Q100" s="29">
        <f t="shared" si="12"/>
        <v>0.73959999999999992</v>
      </c>
      <c r="R100" s="34">
        <v>2</v>
      </c>
      <c r="S100" s="24">
        <f t="shared" si="13"/>
        <v>1.4791999999999998</v>
      </c>
      <c r="T100" s="25"/>
    </row>
    <row r="101" spans="15:20" x14ac:dyDescent="0.25">
      <c r="O101" s="23">
        <v>87</v>
      </c>
      <c r="P101" s="29">
        <f t="shared" si="11"/>
        <v>0.87</v>
      </c>
      <c r="Q101" s="29">
        <f t="shared" si="12"/>
        <v>0.75690000000000002</v>
      </c>
      <c r="R101" s="34">
        <v>2</v>
      </c>
      <c r="S101" s="24">
        <f t="shared" si="13"/>
        <v>1.5138</v>
      </c>
      <c r="T101" s="25"/>
    </row>
    <row r="102" spans="15:20" x14ac:dyDescent="0.25">
      <c r="O102" s="23">
        <v>88</v>
      </c>
      <c r="P102" s="29">
        <f t="shared" si="11"/>
        <v>0.88</v>
      </c>
      <c r="Q102" s="29">
        <f t="shared" si="12"/>
        <v>0.77439999999999998</v>
      </c>
      <c r="R102" s="34">
        <v>2</v>
      </c>
      <c r="S102" s="24">
        <f t="shared" si="13"/>
        <v>1.5488</v>
      </c>
      <c r="T102" s="25"/>
    </row>
    <row r="103" spans="15:20" x14ac:dyDescent="0.25">
      <c r="O103" s="23">
        <v>89</v>
      </c>
      <c r="P103" s="29">
        <f t="shared" si="11"/>
        <v>0.89</v>
      </c>
      <c r="Q103" s="29">
        <f t="shared" si="12"/>
        <v>0.79210000000000003</v>
      </c>
      <c r="R103" s="34">
        <v>2</v>
      </c>
      <c r="S103" s="24">
        <f t="shared" si="13"/>
        <v>1.5842000000000001</v>
      </c>
      <c r="T103" s="25"/>
    </row>
    <row r="104" spans="15:20" x14ac:dyDescent="0.25">
      <c r="O104" s="23">
        <v>90</v>
      </c>
      <c r="P104" s="29">
        <f t="shared" si="11"/>
        <v>0.9</v>
      </c>
      <c r="Q104" s="29">
        <f t="shared" si="12"/>
        <v>0.81</v>
      </c>
      <c r="R104" s="34">
        <v>2</v>
      </c>
      <c r="S104" s="24">
        <f t="shared" si="13"/>
        <v>1.62</v>
      </c>
      <c r="T104" s="25"/>
    </row>
    <row r="105" spans="15:20" x14ac:dyDescent="0.25">
      <c r="O105" s="23">
        <v>91</v>
      </c>
      <c r="P105" s="29">
        <f t="shared" si="11"/>
        <v>0.91</v>
      </c>
      <c r="Q105" s="29">
        <f t="shared" si="12"/>
        <v>0.82810000000000006</v>
      </c>
      <c r="R105" s="34">
        <v>2</v>
      </c>
      <c r="S105" s="24">
        <f t="shared" si="13"/>
        <v>1.6562000000000001</v>
      </c>
      <c r="T105" s="25"/>
    </row>
    <row r="106" spans="15:20" x14ac:dyDescent="0.25">
      <c r="O106" s="23">
        <v>92</v>
      </c>
      <c r="P106" s="29">
        <f t="shared" si="11"/>
        <v>0.92</v>
      </c>
      <c r="Q106" s="29">
        <f t="shared" si="12"/>
        <v>0.84640000000000004</v>
      </c>
      <c r="R106" s="34">
        <v>2</v>
      </c>
      <c r="S106" s="24">
        <f t="shared" si="13"/>
        <v>1.6928000000000001</v>
      </c>
      <c r="T106" s="25"/>
    </row>
    <row r="107" spans="15:20" x14ac:dyDescent="0.25">
      <c r="O107" s="23">
        <v>93</v>
      </c>
      <c r="P107" s="29">
        <f t="shared" si="11"/>
        <v>0.93</v>
      </c>
      <c r="Q107" s="29">
        <f t="shared" si="12"/>
        <v>0.86490000000000011</v>
      </c>
      <c r="R107" s="34">
        <v>2</v>
      </c>
      <c r="S107" s="24">
        <f t="shared" si="13"/>
        <v>1.7298000000000002</v>
      </c>
      <c r="T107" s="25"/>
    </row>
    <row r="108" spans="15:20" x14ac:dyDescent="0.25">
      <c r="O108" s="23">
        <v>94</v>
      </c>
      <c r="P108" s="29">
        <f t="shared" si="11"/>
        <v>0.94000000000000006</v>
      </c>
      <c r="Q108" s="29">
        <f t="shared" si="12"/>
        <v>0.88360000000000016</v>
      </c>
      <c r="R108" s="34">
        <v>2</v>
      </c>
      <c r="S108" s="24">
        <f t="shared" si="13"/>
        <v>1.7672000000000003</v>
      </c>
      <c r="T108" s="25"/>
    </row>
    <row r="109" spans="15:20" x14ac:dyDescent="0.25">
      <c r="O109" s="23">
        <v>95</v>
      </c>
      <c r="P109" s="29">
        <f t="shared" si="11"/>
        <v>0.95000000000000007</v>
      </c>
      <c r="Q109" s="29">
        <f t="shared" si="12"/>
        <v>0.90250000000000008</v>
      </c>
      <c r="R109" s="34">
        <v>2</v>
      </c>
      <c r="S109" s="24">
        <f t="shared" si="13"/>
        <v>1.8050000000000002</v>
      </c>
      <c r="T109" s="25"/>
    </row>
    <row r="110" spans="15:20" x14ac:dyDescent="0.25">
      <c r="O110" s="23">
        <v>96</v>
      </c>
      <c r="P110" s="29">
        <f t="shared" ref="P110:P114" si="14">$B$4+O110*$D$8</f>
        <v>0.96</v>
      </c>
      <c r="Q110" s="29">
        <f t="shared" si="12"/>
        <v>0.92159999999999997</v>
      </c>
      <c r="R110" s="34">
        <v>2</v>
      </c>
      <c r="S110" s="24">
        <f t="shared" si="13"/>
        <v>1.8431999999999999</v>
      </c>
      <c r="T110" s="25"/>
    </row>
    <row r="111" spans="15:20" x14ac:dyDescent="0.25">
      <c r="O111" s="23">
        <v>97</v>
      </c>
      <c r="P111" s="29">
        <f t="shared" si="14"/>
        <v>0.97</v>
      </c>
      <c r="Q111" s="29">
        <f t="shared" si="12"/>
        <v>0.94089999999999996</v>
      </c>
      <c r="R111" s="34">
        <v>2</v>
      </c>
      <c r="S111" s="24">
        <f t="shared" si="13"/>
        <v>1.8817999999999999</v>
      </c>
      <c r="T111" s="25"/>
    </row>
    <row r="112" spans="15:20" x14ac:dyDescent="0.25">
      <c r="O112" s="23">
        <v>98</v>
      </c>
      <c r="P112" s="29">
        <f t="shared" si="14"/>
        <v>0.98</v>
      </c>
      <c r="Q112" s="29">
        <f t="shared" si="12"/>
        <v>0.96039999999999992</v>
      </c>
      <c r="R112" s="34">
        <v>2</v>
      </c>
      <c r="S112" s="24">
        <f t="shared" si="13"/>
        <v>1.9207999999999998</v>
      </c>
      <c r="T112" s="25"/>
    </row>
    <row r="113" spans="15:20" x14ac:dyDescent="0.25">
      <c r="O113" s="23">
        <v>99</v>
      </c>
      <c r="P113" s="29">
        <f t="shared" si="14"/>
        <v>0.99</v>
      </c>
      <c r="Q113" s="29">
        <f t="shared" si="12"/>
        <v>0.98009999999999997</v>
      </c>
      <c r="R113" s="34">
        <v>2</v>
      </c>
      <c r="S113" s="24">
        <f t="shared" si="13"/>
        <v>1.9601999999999999</v>
      </c>
      <c r="T113" s="25"/>
    </row>
    <row r="114" spans="15:20" ht="15.75" thickBot="1" x14ac:dyDescent="0.3">
      <c r="O114" s="26">
        <v>100</v>
      </c>
      <c r="P114" s="30">
        <f t="shared" si="14"/>
        <v>1</v>
      </c>
      <c r="Q114" s="30">
        <f t="shared" si="12"/>
        <v>1</v>
      </c>
      <c r="R114" s="33">
        <v>1</v>
      </c>
      <c r="S114" s="27">
        <f t="shared" si="13"/>
        <v>1</v>
      </c>
      <c r="T114" s="28"/>
    </row>
    <row r="115" spans="15:20" x14ac:dyDescent="0.25">
      <c r="O115" s="1"/>
      <c r="P115" s="2"/>
      <c r="Q115" s="7"/>
      <c r="R115" s="7" t="s">
        <v>9</v>
      </c>
      <c r="S115" s="35">
        <f>(SUM(S14:S114))*D8/2</f>
        <v>0.33335000000000004</v>
      </c>
      <c r="T115" s="11">
        <f>ABS($G$4-S115)/$G$4</f>
        <v>5.0000000000161027E-5</v>
      </c>
    </row>
    <row r="116" spans="15:20" x14ac:dyDescent="0.25">
      <c r="O116" s="1"/>
      <c r="P116" s="2"/>
      <c r="Q116" s="2"/>
      <c r="R116" s="2"/>
      <c r="S116" s="2"/>
    </row>
    <row r="117" spans="15:20" x14ac:dyDescent="0.25">
      <c r="O117" s="1"/>
      <c r="P117" s="2"/>
      <c r="Q117" s="2"/>
      <c r="R117" s="2"/>
      <c r="S117" s="2"/>
    </row>
    <row r="118" spans="15:20" x14ac:dyDescent="0.25">
      <c r="O118" s="1"/>
      <c r="P118" s="2"/>
      <c r="Q118" s="2"/>
      <c r="R118" s="2"/>
      <c r="S118" s="2"/>
    </row>
    <row r="119" spans="15:20" x14ac:dyDescent="0.25">
      <c r="O119" s="1"/>
      <c r="P119" s="2"/>
      <c r="Q119" s="2"/>
      <c r="R119" s="2"/>
      <c r="S119" s="2"/>
    </row>
    <row r="120" spans="15:20" x14ac:dyDescent="0.25">
      <c r="O120" s="1"/>
      <c r="P120" s="2"/>
      <c r="Q120" s="2"/>
      <c r="R120" s="2"/>
      <c r="S120" s="2"/>
    </row>
  </sheetData>
  <mergeCells count="3">
    <mergeCell ref="D4:D5"/>
    <mergeCell ref="F4:F5"/>
    <mergeCell ref="G4:G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AA88-9891-4927-829B-C62B0D6F1C0E}">
  <dimension ref="A1:Y122"/>
  <sheetViews>
    <sheetView showGridLines="0" zoomScale="130" zoomScaleNormal="130" workbookViewId="0">
      <pane ySplit="15" topLeftCell="A16" activePane="bottomLeft" state="frozen"/>
      <selection pane="bottomLeft" activeCell="H7" sqref="H7"/>
    </sheetView>
  </sheetViews>
  <sheetFormatPr defaultRowHeight="15" x14ac:dyDescent="0.25"/>
  <sheetData>
    <row r="1" spans="1:25" x14ac:dyDescent="0.25">
      <c r="A1" s="3" t="s">
        <v>0</v>
      </c>
    </row>
    <row r="2" spans="1:25" x14ac:dyDescent="0.25">
      <c r="A2" s="3"/>
    </row>
    <row r="3" spans="1:25" x14ac:dyDescent="0.25">
      <c r="A3" s="36" t="s">
        <v>21</v>
      </c>
    </row>
    <row r="4" spans="1:25" ht="18" customHeight="1" x14ac:dyDescent="0.25">
      <c r="A4" s="13" t="s">
        <v>1</v>
      </c>
      <c r="B4" s="14">
        <v>0</v>
      </c>
      <c r="C4" s="37" t="s">
        <v>20</v>
      </c>
      <c r="D4" s="1"/>
      <c r="E4" s="37" t="s">
        <v>19</v>
      </c>
      <c r="F4" s="37">
        <v>0.60104000000000002</v>
      </c>
    </row>
    <row r="5" spans="1:25" x14ac:dyDescent="0.25">
      <c r="A5" s="13" t="s">
        <v>2</v>
      </c>
      <c r="B5" s="14">
        <v>1</v>
      </c>
      <c r="C5" s="37"/>
      <c r="D5" s="1"/>
      <c r="E5" s="37"/>
      <c r="F5" s="37"/>
    </row>
    <row r="7" spans="1:25" x14ac:dyDescent="0.25">
      <c r="A7" s="15" t="s">
        <v>3</v>
      </c>
      <c r="B7" s="16">
        <v>10</v>
      </c>
      <c r="C7" s="16">
        <v>100</v>
      </c>
    </row>
    <row r="8" spans="1:25" x14ac:dyDescent="0.25">
      <c r="A8" s="4" t="s">
        <v>7</v>
      </c>
      <c r="B8" s="8">
        <f t="shared" ref="B8:C8" si="0">($B$5-$B$4)/B7</f>
        <v>0.1</v>
      </c>
      <c r="C8" s="8">
        <f t="shared" si="0"/>
        <v>0.01</v>
      </c>
    </row>
    <row r="9" spans="1:25" x14ac:dyDescent="0.25">
      <c r="A9" s="4"/>
      <c r="B9" s="8"/>
      <c r="C9" s="8"/>
    </row>
    <row r="10" spans="1:25" x14ac:dyDescent="0.25">
      <c r="A10" s="4"/>
      <c r="B10" s="39" t="s">
        <v>22</v>
      </c>
      <c r="C10" s="39"/>
      <c r="D10" s="40" t="s">
        <v>23</v>
      </c>
      <c r="E10" s="40"/>
    </row>
    <row r="11" spans="1:25" x14ac:dyDescent="0.25">
      <c r="A11" s="42" t="s">
        <v>18</v>
      </c>
      <c r="B11" s="43">
        <f>E27</f>
        <v>0.10628525030592392</v>
      </c>
      <c r="C11" s="43">
        <f>K117</f>
        <v>1.0579732716383331E-2</v>
      </c>
      <c r="D11" s="43">
        <f>R27</f>
        <v>6.2246971444339752E-4</v>
      </c>
      <c r="E11" s="44">
        <f>Y117</f>
        <v>1.3454657235794803E-5</v>
      </c>
    </row>
    <row r="13" spans="1:25" x14ac:dyDescent="0.25">
      <c r="A13" s="38" t="s">
        <v>22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M13" s="38" t="s">
        <v>23</v>
      </c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x14ac:dyDescent="0.25">
      <c r="A14" s="12" t="s">
        <v>16</v>
      </c>
      <c r="G14" s="12" t="s">
        <v>17</v>
      </c>
      <c r="M14" s="12" t="s">
        <v>16</v>
      </c>
      <c r="T14" s="12" t="s">
        <v>17</v>
      </c>
    </row>
    <row r="15" spans="1:25" s="6" customFormat="1" ht="15.75" thickBot="1" x14ac:dyDescent="0.3">
      <c r="A15" s="5" t="s">
        <v>4</v>
      </c>
      <c r="B15" s="5" t="s">
        <v>5</v>
      </c>
      <c r="C15" s="5" t="s">
        <v>6</v>
      </c>
      <c r="D15" s="5" t="s">
        <v>8</v>
      </c>
      <c r="E15" s="5" t="s">
        <v>10</v>
      </c>
      <c r="G15" s="5" t="s">
        <v>4</v>
      </c>
      <c r="H15" s="5" t="s">
        <v>5</v>
      </c>
      <c r="I15" s="5" t="s">
        <v>6</v>
      </c>
      <c r="J15" s="5" t="s">
        <v>8</v>
      </c>
      <c r="K15" s="5" t="s">
        <v>10</v>
      </c>
      <c r="M15" s="5" t="s">
        <v>4</v>
      </c>
      <c r="N15" s="5" t="s">
        <v>5</v>
      </c>
      <c r="O15" s="5" t="s">
        <v>6</v>
      </c>
      <c r="P15" s="5" t="s">
        <v>13</v>
      </c>
      <c r="Q15" s="5" t="s">
        <v>12</v>
      </c>
      <c r="R15" s="5" t="s">
        <v>10</v>
      </c>
      <c r="T15" s="5" t="s">
        <v>4</v>
      </c>
      <c r="U15" s="5" t="s">
        <v>5</v>
      </c>
      <c r="V15" s="5" t="s">
        <v>6</v>
      </c>
      <c r="W15" s="5" t="s">
        <v>13</v>
      </c>
      <c r="X15" s="5" t="s">
        <v>12</v>
      </c>
      <c r="Y15" s="5" t="s">
        <v>10</v>
      </c>
    </row>
    <row r="16" spans="1:25" x14ac:dyDescent="0.25">
      <c r="A16" s="20">
        <v>0</v>
      </c>
      <c r="B16" s="21">
        <f>$B$4+A16*$B$8</f>
        <v>0</v>
      </c>
      <c r="C16" s="21">
        <f>(COS(B16)/(1+B16))</f>
        <v>1</v>
      </c>
      <c r="D16" s="21">
        <f>C16*$B$8</f>
        <v>0.1</v>
      </c>
      <c r="E16" s="22"/>
      <c r="G16" s="20">
        <v>0</v>
      </c>
      <c r="H16" s="21">
        <f>$B$4+G16*$C$8</f>
        <v>0</v>
      </c>
      <c r="I16" s="21">
        <f>(COS(H16)/(1+H16))</f>
        <v>1</v>
      </c>
      <c r="J16" s="21">
        <f>I16*$C$8</f>
        <v>0.01</v>
      </c>
      <c r="K16" s="22"/>
      <c r="M16" s="20">
        <v>0</v>
      </c>
      <c r="N16" s="21">
        <f>$B$4+M16*$B$8</f>
        <v>0</v>
      </c>
      <c r="O16" s="21">
        <f>(COS(N16)/(1+N16))</f>
        <v>1</v>
      </c>
      <c r="P16" s="31">
        <v>1</v>
      </c>
      <c r="Q16" s="21">
        <f>P16*O16</f>
        <v>1</v>
      </c>
      <c r="R16" s="22"/>
      <c r="T16" s="20">
        <v>0</v>
      </c>
      <c r="U16" s="21">
        <f>$B$4+T16*$C$8</f>
        <v>0</v>
      </c>
      <c r="V16" s="21">
        <f>(COS(U16)/(1+U16))</f>
        <v>1</v>
      </c>
      <c r="W16" s="31">
        <v>1</v>
      </c>
      <c r="X16" s="21">
        <f>W16*V16</f>
        <v>1</v>
      </c>
      <c r="Y16" s="22"/>
    </row>
    <row r="17" spans="1:25" x14ac:dyDescent="0.25">
      <c r="A17" s="23">
        <v>1</v>
      </c>
      <c r="B17" s="24">
        <f>$B$4+A17*$B$8</f>
        <v>0.1</v>
      </c>
      <c r="C17" s="24">
        <f t="shared" ref="C17:C26" si="1">(COS(B17)/(1+B17))</f>
        <v>0.90454924116184154</v>
      </c>
      <c r="D17" s="24">
        <f>C17*$B$8</f>
        <v>9.0454924116184166E-2</v>
      </c>
      <c r="E17" s="25"/>
      <c r="G17" s="23">
        <v>1</v>
      </c>
      <c r="H17" s="29">
        <f>$B$4+G17*$C$8</f>
        <v>0.01</v>
      </c>
      <c r="I17" s="29">
        <f t="shared" ref="I17:I80" si="2">(COS(H17)/(1+H17))</f>
        <v>0.99004950536303493</v>
      </c>
      <c r="J17" s="29">
        <f>I17*$C$8</f>
        <v>9.9004950536303489E-3</v>
      </c>
      <c r="K17" s="25"/>
      <c r="M17" s="23">
        <v>1</v>
      </c>
      <c r="N17" s="24">
        <f>$B$4+M17*$B$8</f>
        <v>0.1</v>
      </c>
      <c r="O17" s="24">
        <f t="shared" ref="O17:O26" si="3">(COS(N17)/(1+N17))</f>
        <v>0.90454924116184154</v>
      </c>
      <c r="P17" s="32">
        <v>2</v>
      </c>
      <c r="Q17" s="24">
        <f>P17*O17</f>
        <v>1.8090984823236831</v>
      </c>
      <c r="R17" s="25"/>
      <c r="T17" s="23">
        <v>1</v>
      </c>
      <c r="U17" s="29">
        <f>$B$4+T17*$C$8</f>
        <v>0.01</v>
      </c>
      <c r="V17" s="29">
        <f t="shared" ref="V17:V80" si="4">(COS(U17)/(1+U17))</f>
        <v>0.99004950536303493</v>
      </c>
      <c r="W17" s="34">
        <v>2</v>
      </c>
      <c r="X17" s="24">
        <f>W17*V17</f>
        <v>1.9800990107260699</v>
      </c>
      <c r="Y17" s="25"/>
    </row>
    <row r="18" spans="1:25" x14ac:dyDescent="0.25">
      <c r="A18" s="23">
        <v>2</v>
      </c>
      <c r="B18" s="24">
        <f>$B$4+A18*$B$8</f>
        <v>0.2</v>
      </c>
      <c r="C18" s="24">
        <f t="shared" si="1"/>
        <v>0.81672214820103473</v>
      </c>
      <c r="D18" s="24">
        <f>C18*$B$8</f>
        <v>8.1672214820103478E-2</v>
      </c>
      <c r="E18" s="25"/>
      <c r="G18" s="23">
        <v>2</v>
      </c>
      <c r="H18" s="29">
        <f>$B$4+G18*$C$8</f>
        <v>0.02</v>
      </c>
      <c r="I18" s="29">
        <f t="shared" si="2"/>
        <v>0.98019608496723309</v>
      </c>
      <c r="J18" s="29">
        <f>I18*$C$8</f>
        <v>9.8019608496723309E-3</v>
      </c>
      <c r="K18" s="25"/>
      <c r="M18" s="23">
        <v>2</v>
      </c>
      <c r="N18" s="24">
        <f>$B$4+M18*$B$8</f>
        <v>0.2</v>
      </c>
      <c r="O18" s="24">
        <f t="shared" si="3"/>
        <v>0.81672214820103473</v>
      </c>
      <c r="P18" s="32">
        <v>2</v>
      </c>
      <c r="Q18" s="24">
        <f t="shared" ref="Q18:Q26" si="5">P18*O18</f>
        <v>1.6334442964020695</v>
      </c>
      <c r="R18" s="25"/>
      <c r="T18" s="23">
        <v>2</v>
      </c>
      <c r="U18" s="29">
        <f>$B$4+T18*$C$8</f>
        <v>0.02</v>
      </c>
      <c r="V18" s="29">
        <f t="shared" si="4"/>
        <v>0.98019608496723309</v>
      </c>
      <c r="W18" s="34">
        <v>2</v>
      </c>
      <c r="X18" s="24">
        <f t="shared" ref="X18:X81" si="6">W18*V18</f>
        <v>1.9603921699344662</v>
      </c>
      <c r="Y18" s="25"/>
    </row>
    <row r="19" spans="1:25" x14ac:dyDescent="0.25">
      <c r="A19" s="23">
        <v>3</v>
      </c>
      <c r="B19" s="24">
        <f>$B$4+A19*$B$8</f>
        <v>0.30000000000000004</v>
      </c>
      <c r="C19" s="24">
        <f t="shared" si="1"/>
        <v>0.73487422240431222</v>
      </c>
      <c r="D19" s="24">
        <f>C19*$B$8</f>
        <v>7.3487422240431227E-2</v>
      </c>
      <c r="E19" s="25"/>
      <c r="G19" s="23">
        <v>3</v>
      </c>
      <c r="H19" s="29">
        <f>$B$4+G19*$C$8</f>
        <v>0.03</v>
      </c>
      <c r="I19" s="29">
        <f t="shared" si="2"/>
        <v>0.97043692596989084</v>
      </c>
      <c r="J19" s="29">
        <f>I19*$C$8</f>
        <v>9.7043692596989091E-3</v>
      </c>
      <c r="K19" s="25"/>
      <c r="M19" s="23">
        <v>3</v>
      </c>
      <c r="N19" s="24">
        <f>$B$4+M19*$B$8</f>
        <v>0.30000000000000004</v>
      </c>
      <c r="O19" s="24">
        <f t="shared" si="3"/>
        <v>0.73487422240431222</v>
      </c>
      <c r="P19" s="32">
        <v>2</v>
      </c>
      <c r="Q19" s="24">
        <f t="shared" si="5"/>
        <v>1.4697484448086244</v>
      </c>
      <c r="R19" s="25"/>
      <c r="T19" s="23">
        <v>3</v>
      </c>
      <c r="U19" s="29">
        <f>$B$4+T19*$C$8</f>
        <v>0.03</v>
      </c>
      <c r="V19" s="29">
        <f t="shared" si="4"/>
        <v>0.97043692596989084</v>
      </c>
      <c r="W19" s="34">
        <v>2</v>
      </c>
      <c r="X19" s="24">
        <f>W19*V19</f>
        <v>1.9408738519397817</v>
      </c>
      <c r="Y19" s="25"/>
    </row>
    <row r="20" spans="1:25" x14ac:dyDescent="0.25">
      <c r="A20" s="23">
        <v>4</v>
      </c>
      <c r="B20" s="24">
        <f>$B$4+A20*$B$8</f>
        <v>0.4</v>
      </c>
      <c r="C20" s="24">
        <f t="shared" si="1"/>
        <v>0.65790071000206085</v>
      </c>
      <c r="D20" s="24">
        <f>C20*$B$8</f>
        <v>6.5790071000206091E-2</v>
      </c>
      <c r="E20" s="25"/>
      <c r="G20" s="23">
        <v>4</v>
      </c>
      <c r="H20" s="29">
        <f>$B$4+G20*$C$8</f>
        <v>0.04</v>
      </c>
      <c r="I20" s="29">
        <f t="shared" si="2"/>
        <v>0.9607693333278633</v>
      </c>
      <c r="J20" s="29">
        <f>I20*$C$8</f>
        <v>9.6076933332786326E-3</v>
      </c>
      <c r="K20" s="25"/>
      <c r="M20" s="23">
        <v>4</v>
      </c>
      <c r="N20" s="24">
        <f>$B$4+M20*$B$8</f>
        <v>0.4</v>
      </c>
      <c r="O20" s="24">
        <f t="shared" si="3"/>
        <v>0.65790071000206085</v>
      </c>
      <c r="P20" s="32">
        <v>2</v>
      </c>
      <c r="Q20" s="24">
        <f t="shared" si="5"/>
        <v>1.3158014200041217</v>
      </c>
      <c r="R20" s="25"/>
      <c r="T20" s="23">
        <v>4</v>
      </c>
      <c r="U20" s="29">
        <f>$B$4+T20*$C$8</f>
        <v>0.04</v>
      </c>
      <c r="V20" s="29">
        <f t="shared" si="4"/>
        <v>0.9607693333278633</v>
      </c>
      <c r="W20" s="34">
        <v>2</v>
      </c>
      <c r="X20" s="24">
        <f t="shared" si="6"/>
        <v>1.9215386666557266</v>
      </c>
      <c r="Y20" s="25"/>
    </row>
    <row r="21" spans="1:25" x14ac:dyDescent="0.25">
      <c r="A21" s="23">
        <v>5</v>
      </c>
      <c r="B21" s="24">
        <f>$B$4+A21*$B$8</f>
        <v>0.5</v>
      </c>
      <c r="C21" s="24">
        <f>(COS(B21)/(1+B21))</f>
        <v>0.58505504126024854</v>
      </c>
      <c r="D21" s="24">
        <f>C21*$B$8</f>
        <v>5.8505504126024857E-2</v>
      </c>
      <c r="E21" s="25"/>
      <c r="G21" s="23">
        <v>5</v>
      </c>
      <c r="H21" s="29">
        <f>$B$4+G21*$C$8</f>
        <v>0.05</v>
      </c>
      <c r="I21" s="29">
        <f t="shared" si="2"/>
        <v>0.95119072418568218</v>
      </c>
      <c r="J21" s="29">
        <f>I21*$C$8</f>
        <v>9.5119072418568228E-3</v>
      </c>
      <c r="K21" s="25"/>
      <c r="M21" s="23">
        <v>5</v>
      </c>
      <c r="N21" s="24">
        <f>$B$4+M21*$B$8</f>
        <v>0.5</v>
      </c>
      <c r="O21" s="24">
        <f>(COS(N21)/(1+N21))</f>
        <v>0.58505504126024854</v>
      </c>
      <c r="P21" s="32">
        <v>2</v>
      </c>
      <c r="Q21" s="24">
        <f t="shared" si="5"/>
        <v>1.1701100825204971</v>
      </c>
      <c r="R21" s="25"/>
      <c r="T21" s="23">
        <v>5</v>
      </c>
      <c r="U21" s="29">
        <f>$B$4+T21*$C$8</f>
        <v>0.05</v>
      </c>
      <c r="V21" s="29">
        <f t="shared" si="4"/>
        <v>0.95119072418568218</v>
      </c>
      <c r="W21" s="34">
        <v>2</v>
      </c>
      <c r="X21" s="24">
        <f t="shared" si="6"/>
        <v>1.9023814483713644</v>
      </c>
      <c r="Y21" s="25"/>
    </row>
    <row r="22" spans="1:25" x14ac:dyDescent="0.25">
      <c r="A22" s="23">
        <v>6</v>
      </c>
      <c r="B22" s="24">
        <f>$B$4+A22*$B$8</f>
        <v>0.60000000000000009</v>
      </c>
      <c r="C22" s="24">
        <f t="shared" si="1"/>
        <v>0.51583475931854883</v>
      </c>
      <c r="D22" s="24">
        <f>C22*$B$8</f>
        <v>5.1583475931854889E-2</v>
      </c>
      <c r="E22" s="25"/>
      <c r="G22" s="23">
        <v>6</v>
      </c>
      <c r="H22" s="29">
        <f>$B$4+G22*$C$8</f>
        <v>0.06</v>
      </c>
      <c r="I22" s="29">
        <f t="shared" si="2"/>
        <v>0.94169862258038128</v>
      </c>
      <c r="J22" s="29">
        <f>I22*$C$8</f>
        <v>9.4169862258038136E-3</v>
      </c>
      <c r="K22" s="25"/>
      <c r="M22" s="23">
        <v>6</v>
      </c>
      <c r="N22" s="24">
        <f>$B$4+M22*$B$8</f>
        <v>0.60000000000000009</v>
      </c>
      <c r="O22" s="24">
        <f t="shared" si="3"/>
        <v>0.51583475931854883</v>
      </c>
      <c r="P22" s="32">
        <v>2</v>
      </c>
      <c r="Q22" s="24">
        <f t="shared" si="5"/>
        <v>1.0316695186370977</v>
      </c>
      <c r="R22" s="25"/>
      <c r="T22" s="23">
        <v>6</v>
      </c>
      <c r="U22" s="29">
        <f>$B$4+T22*$C$8</f>
        <v>0.06</v>
      </c>
      <c r="V22" s="29">
        <f t="shared" si="4"/>
        <v>0.94169862258038128</v>
      </c>
      <c r="W22" s="34">
        <v>2</v>
      </c>
      <c r="X22" s="24">
        <f t="shared" si="6"/>
        <v>1.8833972451607626</v>
      </c>
      <c r="Y22" s="25"/>
    </row>
    <row r="23" spans="1:25" x14ac:dyDescent="0.25">
      <c r="A23" s="23">
        <v>7</v>
      </c>
      <c r="B23" s="24">
        <f>$B$4+A23*$B$8</f>
        <v>0.70000000000000007</v>
      </c>
      <c r="C23" s="24">
        <f t="shared" si="1"/>
        <v>0.44990716899087546</v>
      </c>
      <c r="D23" s="24">
        <f>C23*$B$8</f>
        <v>4.4990716899087548E-2</v>
      </c>
      <c r="E23" s="25"/>
      <c r="G23" s="23">
        <v>7</v>
      </c>
      <c r="H23" s="29">
        <f>$B$4+G23*$C$8</f>
        <v>7.0000000000000007E-2</v>
      </c>
      <c r="I23" s="29">
        <f t="shared" si="2"/>
        <v>0.93229065444231729</v>
      </c>
      <c r="J23" s="29">
        <f>I23*$C$8</f>
        <v>9.3229065444231738E-3</v>
      </c>
      <c r="K23" s="25"/>
      <c r="M23" s="23">
        <v>7</v>
      </c>
      <c r="N23" s="24">
        <f>$B$4+M23*$B$8</f>
        <v>0.70000000000000007</v>
      </c>
      <c r="O23" s="24">
        <f t="shared" si="3"/>
        <v>0.44990716899087546</v>
      </c>
      <c r="P23" s="32">
        <v>2</v>
      </c>
      <c r="Q23" s="24">
        <f t="shared" si="5"/>
        <v>0.89981433798175092</v>
      </c>
      <c r="R23" s="25"/>
      <c r="T23" s="23">
        <v>7</v>
      </c>
      <c r="U23" s="29">
        <f>$B$4+T23*$C$8</f>
        <v>7.0000000000000007E-2</v>
      </c>
      <c r="V23" s="29">
        <f t="shared" si="4"/>
        <v>0.93229065444231729</v>
      </c>
      <c r="W23" s="34">
        <v>2</v>
      </c>
      <c r="X23" s="24">
        <f t="shared" si="6"/>
        <v>1.8645813088846346</v>
      </c>
      <c r="Y23" s="25"/>
    </row>
    <row r="24" spans="1:25" x14ac:dyDescent="0.25">
      <c r="A24" s="23">
        <v>8</v>
      </c>
      <c r="B24" s="24">
        <f>$B$4+A24*$B$8</f>
        <v>0.8</v>
      </c>
      <c r="C24" s="24">
        <f t="shared" si="1"/>
        <v>0.3870592829706474</v>
      </c>
      <c r="D24" s="24">
        <f>C24*$B$8</f>
        <v>3.8705928297064741E-2</v>
      </c>
      <c r="E24" s="25"/>
      <c r="G24" s="23">
        <v>8</v>
      </c>
      <c r="H24" s="29">
        <f>$B$4+G24*$C$8</f>
        <v>0.08</v>
      </c>
      <c r="I24" s="29">
        <f t="shared" si="2"/>
        <v>0.92296454287279572</v>
      </c>
      <c r="J24" s="29">
        <f>I24*$C$8</f>
        <v>9.2296454287279575E-3</v>
      </c>
      <c r="K24" s="25"/>
      <c r="M24" s="23">
        <v>8</v>
      </c>
      <c r="N24" s="24">
        <f>$B$4+M24*$B$8</f>
        <v>0.8</v>
      </c>
      <c r="O24" s="24">
        <f t="shared" si="3"/>
        <v>0.3870592829706474</v>
      </c>
      <c r="P24" s="32">
        <v>2</v>
      </c>
      <c r="Q24" s="24">
        <f t="shared" si="5"/>
        <v>0.7741185659412948</v>
      </c>
      <c r="R24" s="25"/>
      <c r="T24" s="23">
        <v>8</v>
      </c>
      <c r="U24" s="29">
        <f>$B$4+T24*$C$8</f>
        <v>0.08</v>
      </c>
      <c r="V24" s="29">
        <f t="shared" si="4"/>
        <v>0.92296454287279572</v>
      </c>
      <c r="W24" s="34">
        <v>2</v>
      </c>
      <c r="X24" s="24">
        <f t="shared" si="6"/>
        <v>1.8459290857455914</v>
      </c>
      <c r="Y24" s="25"/>
    </row>
    <row r="25" spans="1:25" x14ac:dyDescent="0.25">
      <c r="A25" s="23">
        <v>9</v>
      </c>
      <c r="B25" s="24">
        <f>$B$4+A25*$B$8</f>
        <v>0.9</v>
      </c>
      <c r="C25" s="24">
        <f t="shared" si="1"/>
        <v>0.32716314119508655</v>
      </c>
      <c r="D25" s="24">
        <f>C25*$B$8</f>
        <v>3.2716314119508656E-2</v>
      </c>
      <c r="E25" s="25"/>
      <c r="G25" s="23">
        <v>9</v>
      </c>
      <c r="H25" s="29">
        <f>$B$4+G25*$C$8</f>
        <v>0.09</v>
      </c>
      <c r="I25" s="29">
        <f t="shared" si="2"/>
        <v>0.91371810368072859</v>
      </c>
      <c r="J25" s="29">
        <f>I25*$C$8</f>
        <v>9.1371810368072858E-3</v>
      </c>
      <c r="K25" s="25"/>
      <c r="M25" s="23">
        <v>9</v>
      </c>
      <c r="N25" s="24">
        <f>$B$4+M25*$B$8</f>
        <v>0.9</v>
      </c>
      <c r="O25" s="24">
        <f t="shared" si="3"/>
        <v>0.32716314119508655</v>
      </c>
      <c r="P25" s="32">
        <v>2</v>
      </c>
      <c r="Q25" s="24">
        <f t="shared" si="5"/>
        <v>0.6543262823901731</v>
      </c>
      <c r="R25" s="25"/>
      <c r="T25" s="23">
        <v>9</v>
      </c>
      <c r="U25" s="29">
        <f>$B$4+T25*$C$8</f>
        <v>0.09</v>
      </c>
      <c r="V25" s="29">
        <f t="shared" si="4"/>
        <v>0.91371810368072859</v>
      </c>
      <c r="W25" s="34">
        <v>2</v>
      </c>
      <c r="X25" s="24">
        <f t="shared" si="6"/>
        <v>1.8274362073614572</v>
      </c>
      <c r="Y25" s="25"/>
    </row>
    <row r="26" spans="1:25" ht="15.75" thickBot="1" x14ac:dyDescent="0.3">
      <c r="A26" s="26">
        <v>10</v>
      </c>
      <c r="B26" s="27">
        <f>$B$4+A26*$B$8</f>
        <v>1</v>
      </c>
      <c r="C26" s="27">
        <f t="shared" si="1"/>
        <v>0.27015115293406988</v>
      </c>
      <c r="D26" s="27">
        <f>C26*$B$8</f>
        <v>2.7015115293406989E-2</v>
      </c>
      <c r="E26" s="28"/>
      <c r="G26" s="23">
        <v>10</v>
      </c>
      <c r="H26" s="29">
        <f>$B$4+G26*$C$8</f>
        <v>0.1</v>
      </c>
      <c r="I26" s="29">
        <f t="shared" si="2"/>
        <v>0.90454924116184154</v>
      </c>
      <c r="J26" s="29">
        <f>I26*$C$8</f>
        <v>9.0454924116184152E-3</v>
      </c>
      <c r="K26" s="25"/>
      <c r="M26" s="26">
        <v>10</v>
      </c>
      <c r="N26" s="27">
        <f>$B$4+M26*$B$8</f>
        <v>1</v>
      </c>
      <c r="O26" s="27">
        <f t="shared" si="3"/>
        <v>0.27015115293406988</v>
      </c>
      <c r="P26" s="33">
        <v>1</v>
      </c>
      <c r="Q26" s="27">
        <f t="shared" si="5"/>
        <v>0.27015115293406988</v>
      </c>
      <c r="R26" s="28"/>
      <c r="T26" s="23">
        <v>10</v>
      </c>
      <c r="U26" s="29">
        <f>$B$4+T26*$C$8</f>
        <v>0.1</v>
      </c>
      <c r="V26" s="29">
        <f t="shared" si="4"/>
        <v>0.90454924116184154</v>
      </c>
      <c r="W26" s="34">
        <v>2</v>
      </c>
      <c r="X26" s="24">
        <f t="shared" si="6"/>
        <v>1.8090984823236831</v>
      </c>
      <c r="Y26" s="25"/>
    </row>
    <row r="27" spans="1:25" x14ac:dyDescent="0.25">
      <c r="C27" s="7" t="s">
        <v>9</v>
      </c>
      <c r="D27" s="8">
        <f>SUM(D16:D26)</f>
        <v>0.66492168684387254</v>
      </c>
      <c r="E27" s="10">
        <f>ABS($F$4-D27)/$F$4</f>
        <v>0.10628525030592392</v>
      </c>
      <c r="G27" s="23">
        <v>11</v>
      </c>
      <c r="H27" s="29">
        <f>$B$4+G27*$C$8</f>
        <v>0.11</v>
      </c>
      <c r="I27" s="29">
        <f t="shared" si="2"/>
        <v>0.89545594410513218</v>
      </c>
      <c r="J27" s="29">
        <f>I27*$C$8</f>
        <v>8.9545594410513213E-3</v>
      </c>
      <c r="K27" s="25"/>
      <c r="O27" s="7"/>
      <c r="P27" s="7" t="s">
        <v>9</v>
      </c>
      <c r="Q27" s="8">
        <f>(SUM(Q16:Q26))*B8/2</f>
        <v>0.60141412919716908</v>
      </c>
      <c r="R27" s="11">
        <f>ABS($F$4-Q27)/$F$4</f>
        <v>6.2246971444339752E-4</v>
      </c>
      <c r="T27" s="23">
        <v>11</v>
      </c>
      <c r="U27" s="29">
        <f>$B$4+T27*$C$8</f>
        <v>0.11</v>
      </c>
      <c r="V27" s="29">
        <f t="shared" si="4"/>
        <v>0.89545594410513218</v>
      </c>
      <c r="W27" s="34">
        <v>2</v>
      </c>
      <c r="X27" s="24">
        <f t="shared" si="6"/>
        <v>1.7909118882102644</v>
      </c>
      <c r="Y27" s="25"/>
    </row>
    <row r="28" spans="1:25" x14ac:dyDescent="0.25">
      <c r="G28" s="23">
        <v>12</v>
      </c>
      <c r="H28" s="29">
        <f>$B$4+G28*$C$8</f>
        <v>0.12</v>
      </c>
      <c r="I28" s="29">
        <f t="shared" si="2"/>
        <v>0.88643628201238045</v>
      </c>
      <c r="J28" s="29">
        <f>I28*$C$8</f>
        <v>8.8643628201238046E-3</v>
      </c>
      <c r="K28" s="25"/>
      <c r="T28" s="23">
        <v>12</v>
      </c>
      <c r="U28" s="29">
        <f>$B$4+T28*$C$8</f>
        <v>0.12</v>
      </c>
      <c r="V28" s="29">
        <f t="shared" si="4"/>
        <v>0.88643628201238045</v>
      </c>
      <c r="W28" s="34">
        <v>2</v>
      </c>
      <c r="X28" s="24">
        <f t="shared" si="6"/>
        <v>1.7728725640247609</v>
      </c>
      <c r="Y28" s="25"/>
    </row>
    <row r="29" spans="1:25" x14ac:dyDescent="0.25">
      <c r="G29" s="23">
        <v>13</v>
      </c>
      <c r="H29" s="29">
        <f>$B$4+G29*$C$8</f>
        <v>0.13</v>
      </c>
      <c r="I29" s="29">
        <f t="shared" si="2"/>
        <v>0.87748840151751162</v>
      </c>
      <c r="J29" s="29">
        <f>I29*$C$8</f>
        <v>8.7748840151751165E-3</v>
      </c>
      <c r="K29" s="25"/>
      <c r="T29" s="23">
        <v>13</v>
      </c>
      <c r="U29" s="29">
        <f>$B$4+T29*$C$8</f>
        <v>0.13</v>
      </c>
      <c r="V29" s="29">
        <f t="shared" si="4"/>
        <v>0.87748840151751162</v>
      </c>
      <c r="W29" s="34">
        <v>2</v>
      </c>
      <c r="X29" s="24">
        <f t="shared" si="6"/>
        <v>1.7549768030350232</v>
      </c>
      <c r="Y29" s="25"/>
    </row>
    <row r="30" spans="1:25" x14ac:dyDescent="0.25">
      <c r="A30" s="3" t="s">
        <v>11</v>
      </c>
      <c r="G30" s="23">
        <v>14</v>
      </c>
      <c r="H30" s="29">
        <f>$B$4+G30*$C$8</f>
        <v>0.14000000000000001</v>
      </c>
      <c r="I30" s="29">
        <f t="shared" si="2"/>
        <v>0.86861052299354125</v>
      </c>
      <c r="J30" s="29">
        <f>I30*$C$8</f>
        <v>8.6861052299354122E-3</v>
      </c>
      <c r="K30" s="25"/>
      <c r="T30" s="23">
        <v>14</v>
      </c>
      <c r="U30" s="29">
        <f>$B$4+T30*$C$8</f>
        <v>0.14000000000000001</v>
      </c>
      <c r="V30" s="29">
        <f t="shared" si="4"/>
        <v>0.86861052299354125</v>
      </c>
      <c r="W30" s="34">
        <v>2</v>
      </c>
      <c r="X30" s="24">
        <f t="shared" si="6"/>
        <v>1.7372210459870825</v>
      </c>
      <c r="Y30" s="25"/>
    </row>
    <row r="31" spans="1:25" x14ac:dyDescent="0.25">
      <c r="G31" s="23">
        <v>15</v>
      </c>
      <c r="H31" s="29">
        <f>$B$4+G31*$C$8</f>
        <v>0.15</v>
      </c>
      <c r="I31" s="29">
        <f t="shared" si="2"/>
        <v>0.85980093733568896</v>
      </c>
      <c r="J31" s="29">
        <f>I31*$C$8</f>
        <v>8.598009373356889E-3</v>
      </c>
      <c r="K31" s="25"/>
      <c r="T31" s="23">
        <v>15</v>
      </c>
      <c r="U31" s="29">
        <f>$B$4+T31*$C$8</f>
        <v>0.15</v>
      </c>
      <c r="V31" s="29">
        <f t="shared" si="4"/>
        <v>0.85980093733568896</v>
      </c>
      <c r="W31" s="34">
        <v>2</v>
      </c>
      <c r="X31" s="24">
        <f t="shared" si="6"/>
        <v>1.7196018746713779</v>
      </c>
      <c r="Y31" s="25"/>
    </row>
    <row r="32" spans="1:25" x14ac:dyDescent="0.25">
      <c r="G32" s="23">
        <v>16</v>
      </c>
      <c r="H32" s="29">
        <f>$B$4+G32*$C$8</f>
        <v>0.16</v>
      </c>
      <c r="I32" s="29">
        <f t="shared" si="2"/>
        <v>0.85105800291002331</v>
      </c>
      <c r="J32" s="29">
        <f>I32*$C$8</f>
        <v>8.5105800291002329E-3</v>
      </c>
      <c r="K32" s="25"/>
      <c r="T32" s="23">
        <v>16</v>
      </c>
      <c r="U32" s="29">
        <f>$B$4+T32*$C$8</f>
        <v>0.16</v>
      </c>
      <c r="V32" s="29">
        <f t="shared" si="4"/>
        <v>0.85105800291002331</v>
      </c>
      <c r="W32" s="34">
        <v>2</v>
      </c>
      <c r="X32" s="24">
        <f t="shared" si="6"/>
        <v>1.7021160058200466</v>
      </c>
      <c r="Y32" s="25"/>
    </row>
    <row r="33" spans="7:25" x14ac:dyDescent="0.25">
      <c r="G33" s="23">
        <v>17</v>
      </c>
      <c r="H33" s="29">
        <f>$B$4+G33*$C$8</f>
        <v>0.17</v>
      </c>
      <c r="I33" s="29">
        <f t="shared" si="2"/>
        <v>0.8423801426577443</v>
      </c>
      <c r="J33" s="29">
        <f>I33*$C$8</f>
        <v>8.4238014265774434E-3</v>
      </c>
      <c r="K33" s="25"/>
      <c r="T33" s="23">
        <v>17</v>
      </c>
      <c r="U33" s="29">
        <f>$B$4+T33*$C$8</f>
        <v>0.17</v>
      </c>
      <c r="V33" s="29">
        <f t="shared" si="4"/>
        <v>0.8423801426577443</v>
      </c>
      <c r="W33" s="34">
        <v>2</v>
      </c>
      <c r="X33" s="24">
        <f t="shared" si="6"/>
        <v>1.6847602853154886</v>
      </c>
      <c r="Y33" s="25"/>
    </row>
    <row r="34" spans="7:25" x14ac:dyDescent="0.25">
      <c r="G34" s="23">
        <v>18</v>
      </c>
      <c r="H34" s="29">
        <f>$B$4+G34*$C$8</f>
        <v>0.18</v>
      </c>
      <c r="I34" s="29">
        <f t="shared" si="2"/>
        <v>0.83376584134586573</v>
      </c>
      <c r="J34" s="29">
        <f>I34*$C$8</f>
        <v>8.3376584134586575E-3</v>
      </c>
      <c r="K34" s="25"/>
      <c r="T34" s="23">
        <v>18</v>
      </c>
      <c r="U34" s="29">
        <f>$B$4+T34*$C$8</f>
        <v>0.18</v>
      </c>
      <c r="V34" s="29">
        <f t="shared" si="4"/>
        <v>0.83376584134586573</v>
      </c>
      <c r="W34" s="34">
        <v>2</v>
      </c>
      <c r="X34" s="24">
        <f t="shared" si="6"/>
        <v>1.6675316826917315</v>
      </c>
      <c r="Y34" s="25"/>
    </row>
    <row r="35" spans="7:25" x14ac:dyDescent="0.25">
      <c r="G35" s="23">
        <v>19</v>
      </c>
      <c r="H35" s="29">
        <f>$B$4+G35*$C$8</f>
        <v>0.19</v>
      </c>
      <c r="I35" s="29">
        <f t="shared" si="2"/>
        <v>0.82521364295568933</v>
      </c>
      <c r="J35" s="29">
        <f>I35*$C$8</f>
        <v>8.2521364295568937E-3</v>
      </c>
      <c r="K35" s="25"/>
      <c r="T35" s="23">
        <v>19</v>
      </c>
      <c r="U35" s="29">
        <f>$B$4+T35*$C$8</f>
        <v>0.19</v>
      </c>
      <c r="V35" s="29">
        <f t="shared" si="4"/>
        <v>0.82521364295568933</v>
      </c>
      <c r="W35" s="34">
        <v>2</v>
      </c>
      <c r="X35" s="24">
        <f t="shared" si="6"/>
        <v>1.6504272859113787</v>
      </c>
      <c r="Y35" s="25"/>
    </row>
    <row r="36" spans="7:25" x14ac:dyDescent="0.25">
      <c r="G36" s="23">
        <v>20</v>
      </c>
      <c r="H36" s="29">
        <f>$B$4+G36*$C$8</f>
        <v>0.2</v>
      </c>
      <c r="I36" s="29">
        <f t="shared" si="2"/>
        <v>0.81672214820103473</v>
      </c>
      <c r="J36" s="29">
        <f>I36*$C$8</f>
        <v>8.1672214820103471E-3</v>
      </c>
      <c r="K36" s="25"/>
      <c r="T36" s="23">
        <v>20</v>
      </c>
      <c r="U36" s="29">
        <f>$B$4+T36*$C$8</f>
        <v>0.2</v>
      </c>
      <c r="V36" s="29">
        <f t="shared" si="4"/>
        <v>0.81672214820103473</v>
      </c>
      <c r="W36" s="34">
        <v>2</v>
      </c>
      <c r="X36" s="24">
        <f t="shared" si="6"/>
        <v>1.6334442964020695</v>
      </c>
      <c r="Y36" s="25"/>
    </row>
    <row r="37" spans="7:25" x14ac:dyDescent="0.25">
      <c r="G37" s="23">
        <v>21</v>
      </c>
      <c r="H37" s="29">
        <f>$B$4+G37*$C$8</f>
        <v>0.21</v>
      </c>
      <c r="I37" s="29">
        <f t="shared" si="2"/>
        <v>0.80829001216871765</v>
      </c>
      <c r="J37" s="29">
        <f>I37*$C$8</f>
        <v>8.0829001216871765E-3</v>
      </c>
      <c r="K37" s="25"/>
      <c r="T37" s="23">
        <v>21</v>
      </c>
      <c r="U37" s="29">
        <f>$B$4+T37*$C$8</f>
        <v>0.21</v>
      </c>
      <c r="V37" s="29">
        <f t="shared" si="4"/>
        <v>0.80829001216871765</v>
      </c>
      <c r="W37" s="34">
        <v>2</v>
      </c>
      <c r="X37" s="24">
        <f t="shared" si="6"/>
        <v>1.6165800243374353</v>
      </c>
      <c r="Y37" s="25"/>
    </row>
    <row r="38" spans="7:25" x14ac:dyDescent="0.25">
      <c r="G38" s="23">
        <v>22</v>
      </c>
      <c r="H38" s="29">
        <f>$B$4+G38*$C$8</f>
        <v>0.22</v>
      </c>
      <c r="I38" s="29">
        <f t="shared" si="2"/>
        <v>0.79991594207426686</v>
      </c>
      <c r="J38" s="29">
        <f>I38*$C$8</f>
        <v>7.9991594207426686E-3</v>
      </c>
      <c r="K38" s="25"/>
      <c r="T38" s="23">
        <v>22</v>
      </c>
      <c r="U38" s="29">
        <f>$B$4+T38*$C$8</f>
        <v>0.22</v>
      </c>
      <c r="V38" s="29">
        <f t="shared" si="4"/>
        <v>0.79991594207426686</v>
      </c>
      <c r="W38" s="34">
        <v>2</v>
      </c>
      <c r="X38" s="24">
        <f t="shared" si="6"/>
        <v>1.5998318841485337</v>
      </c>
      <c r="Y38" s="25"/>
    </row>
    <row r="39" spans="7:25" x14ac:dyDescent="0.25">
      <c r="G39" s="23">
        <v>23</v>
      </c>
      <c r="H39" s="29">
        <f>$B$4+G39*$C$8</f>
        <v>0.23</v>
      </c>
      <c r="I39" s="29">
        <f t="shared" si="2"/>
        <v>0.79159869512632108</v>
      </c>
      <c r="J39" s="29">
        <f>I39*$C$8</f>
        <v>7.9159869512632104E-3</v>
      </c>
      <c r="K39" s="25"/>
      <c r="T39" s="23">
        <v>23</v>
      </c>
      <c r="U39" s="29">
        <f>$B$4+T39*$C$8</f>
        <v>0.23</v>
      </c>
      <c r="V39" s="29">
        <f t="shared" si="4"/>
        <v>0.79159869512632108</v>
      </c>
      <c r="W39" s="34">
        <v>2</v>
      </c>
      <c r="X39" s="24">
        <f t="shared" si="6"/>
        <v>1.5831973902526422</v>
      </c>
      <c r="Y39" s="25"/>
    </row>
    <row r="40" spans="7:25" x14ac:dyDescent="0.25">
      <c r="G40" s="23">
        <v>24</v>
      </c>
      <c r="H40" s="29">
        <f>$B$4+G40*$C$8</f>
        <v>0.24</v>
      </c>
      <c r="I40" s="29">
        <f t="shared" si="2"/>
        <v>0.78333707649357232</v>
      </c>
      <c r="J40" s="29">
        <f>I40*$C$8</f>
        <v>7.8333707649357234E-3</v>
      </c>
      <c r="K40" s="25"/>
      <c r="T40" s="23">
        <v>24</v>
      </c>
      <c r="U40" s="29">
        <f>$B$4+T40*$C$8</f>
        <v>0.24</v>
      </c>
      <c r="V40" s="29">
        <f t="shared" si="4"/>
        <v>0.78333707649357232</v>
      </c>
      <c r="W40" s="34">
        <v>2</v>
      </c>
      <c r="X40" s="24">
        <f t="shared" si="6"/>
        <v>1.5666741529871446</v>
      </c>
      <c r="Y40" s="25"/>
    </row>
    <row r="41" spans="7:25" x14ac:dyDescent="0.25">
      <c r="G41" s="23">
        <v>25</v>
      </c>
      <c r="H41" s="29">
        <f>$B$4+G41*$C$8</f>
        <v>0.25</v>
      </c>
      <c r="I41" s="29">
        <f t="shared" si="2"/>
        <v>0.77512993736851576</v>
      </c>
      <c r="J41" s="29">
        <f>I41*$C$8</f>
        <v>7.751299373685158E-3</v>
      </c>
      <c r="K41" s="25"/>
      <c r="T41" s="23">
        <v>25</v>
      </c>
      <c r="U41" s="29">
        <f>$B$4+T41*$C$8</f>
        <v>0.25</v>
      </c>
      <c r="V41" s="29">
        <f t="shared" si="4"/>
        <v>0.77512993736851576</v>
      </c>
      <c r="W41" s="34">
        <v>2</v>
      </c>
      <c r="X41" s="24">
        <f t="shared" si="6"/>
        <v>1.5502598747370315</v>
      </c>
      <c r="Y41" s="25"/>
    </row>
    <row r="42" spans="7:25" x14ac:dyDescent="0.25">
      <c r="G42" s="23">
        <v>26</v>
      </c>
      <c r="H42" s="29">
        <f>$B$4+G42*$C$8</f>
        <v>0.26</v>
      </c>
      <c r="I42" s="29">
        <f t="shared" si="2"/>
        <v>0.76697617312262956</v>
      </c>
      <c r="J42" s="29">
        <f>I42*$C$8</f>
        <v>7.6697617312262954E-3</v>
      </c>
      <c r="K42" s="25"/>
      <c r="T42" s="23">
        <v>26</v>
      </c>
      <c r="U42" s="29">
        <f>$B$4+T42*$C$8</f>
        <v>0.26</v>
      </c>
      <c r="V42" s="29">
        <f t="shared" si="4"/>
        <v>0.76697617312262956</v>
      </c>
      <c r="W42" s="34">
        <v>2</v>
      </c>
      <c r="X42" s="24">
        <f t="shared" si="6"/>
        <v>1.5339523462452591</v>
      </c>
      <c r="Y42" s="25"/>
    </row>
    <row r="43" spans="7:25" x14ac:dyDescent="0.25">
      <c r="G43" s="23">
        <v>27</v>
      </c>
      <c r="H43" s="29">
        <f>$B$4+G43*$C$8</f>
        <v>0.27</v>
      </c>
      <c r="I43" s="29">
        <f t="shared" si="2"/>
        <v>0.75887472154794533</v>
      </c>
      <c r="J43" s="29">
        <f>I43*$C$8</f>
        <v>7.5887472154794536E-3</v>
      </c>
      <c r="K43" s="25"/>
      <c r="T43" s="23">
        <v>27</v>
      </c>
      <c r="U43" s="29">
        <f>$B$4+T43*$C$8</f>
        <v>0.27</v>
      </c>
      <c r="V43" s="29">
        <f t="shared" si="4"/>
        <v>0.75887472154794533</v>
      </c>
      <c r="W43" s="34">
        <v>2</v>
      </c>
      <c r="X43" s="24">
        <f t="shared" si="6"/>
        <v>1.5177494430958907</v>
      </c>
      <c r="Y43" s="25"/>
    </row>
    <row r="44" spans="7:25" x14ac:dyDescent="0.25">
      <c r="G44" s="23">
        <v>28</v>
      </c>
      <c r="H44" s="29">
        <f>$B$4+G44*$C$8</f>
        <v>0.28000000000000003</v>
      </c>
      <c r="I44" s="29">
        <f t="shared" si="2"/>
        <v>0.75082456118028973</v>
      </c>
      <c r="J44" s="29">
        <f>I44*$C$8</f>
        <v>7.5082456118028976E-3</v>
      </c>
      <c r="K44" s="25"/>
      <c r="T44" s="23">
        <v>28</v>
      </c>
      <c r="U44" s="29">
        <f>$B$4+T44*$C$8</f>
        <v>0.28000000000000003</v>
      </c>
      <c r="V44" s="29">
        <f t="shared" si="4"/>
        <v>0.75082456118028973</v>
      </c>
      <c r="W44" s="34">
        <v>2</v>
      </c>
      <c r="X44" s="24">
        <f t="shared" si="6"/>
        <v>1.5016491223605795</v>
      </c>
      <c r="Y44" s="25"/>
    </row>
    <row r="45" spans="7:25" x14ac:dyDescent="0.25">
      <c r="G45" s="23">
        <v>29</v>
      </c>
      <c r="H45" s="29">
        <f>$B$4+G45*$C$8</f>
        <v>0.28999999999999998</v>
      </c>
      <c r="I45" s="29">
        <f t="shared" si="2"/>
        <v>0.74282470969976522</v>
      </c>
      <c r="J45" s="29">
        <f>I45*$C$8</f>
        <v>7.4282470969976519E-3</v>
      </c>
      <c r="K45" s="25"/>
      <c r="T45" s="23">
        <v>29</v>
      </c>
      <c r="U45" s="29">
        <f>$B$4+T45*$C$8</f>
        <v>0.28999999999999998</v>
      </c>
      <c r="V45" s="29">
        <f t="shared" si="4"/>
        <v>0.74282470969976522</v>
      </c>
      <c r="W45" s="34">
        <v>2</v>
      </c>
      <c r="X45" s="24">
        <f t="shared" si="6"/>
        <v>1.4856494193995304</v>
      </c>
      <c r="Y45" s="25"/>
    </row>
    <row r="46" spans="7:25" x14ac:dyDescent="0.25">
      <c r="G46" s="23">
        <v>30</v>
      </c>
      <c r="H46" s="29">
        <f>$B$4+G46*$C$8</f>
        <v>0.3</v>
      </c>
      <c r="I46" s="29">
        <f t="shared" si="2"/>
        <v>0.73487422240431222</v>
      </c>
      <c r="J46" s="29">
        <f>I46*$C$8</f>
        <v>7.3487422240431227E-3</v>
      </c>
      <c r="K46" s="25"/>
      <c r="T46" s="23">
        <v>30</v>
      </c>
      <c r="U46" s="29">
        <f>$B$4+T46*$C$8</f>
        <v>0.3</v>
      </c>
      <c r="V46" s="29">
        <f t="shared" si="4"/>
        <v>0.73487422240431222</v>
      </c>
      <c r="W46" s="34">
        <v>2</v>
      </c>
      <c r="X46" s="24">
        <f t="shared" si="6"/>
        <v>1.4697484448086244</v>
      </c>
      <c r="Y46" s="25"/>
    </row>
    <row r="47" spans="7:25" x14ac:dyDescent="0.25">
      <c r="G47" s="23">
        <v>31</v>
      </c>
      <c r="H47" s="29">
        <f>$B$4+G47*$C$8</f>
        <v>0.31</v>
      </c>
      <c r="I47" s="29">
        <f t="shared" si="2"/>
        <v>0.7269721907524529</v>
      </c>
      <c r="J47" s="29">
        <f>I47*$C$8</f>
        <v>7.2697219075245293E-3</v>
      </c>
      <c r="K47" s="25"/>
      <c r="T47" s="23">
        <v>31</v>
      </c>
      <c r="U47" s="29">
        <f>$B$4+T47*$C$8</f>
        <v>0.31</v>
      </c>
      <c r="V47" s="29">
        <f t="shared" si="4"/>
        <v>0.7269721907524529</v>
      </c>
      <c r="W47" s="34">
        <v>2</v>
      </c>
      <c r="X47" s="24">
        <f t="shared" si="6"/>
        <v>1.4539443815049058</v>
      </c>
      <c r="Y47" s="25"/>
    </row>
    <row r="48" spans="7:25" x14ac:dyDescent="0.25">
      <c r="G48" s="23">
        <v>32</v>
      </c>
      <c r="H48" s="29">
        <f>$B$4+G48*$C$8</f>
        <v>0.32</v>
      </c>
      <c r="I48" s="29">
        <f t="shared" si="2"/>
        <v>0.71911774097154602</v>
      </c>
      <c r="J48" s="29">
        <f>I48*$C$8</f>
        <v>7.1911774097154603E-3</v>
      </c>
      <c r="K48" s="25"/>
      <c r="T48" s="23">
        <v>32</v>
      </c>
      <c r="U48" s="29">
        <f>$B$4+T48*$C$8</f>
        <v>0.32</v>
      </c>
      <c r="V48" s="29">
        <f t="shared" si="4"/>
        <v>0.71911774097154602</v>
      </c>
      <c r="W48" s="34">
        <v>2</v>
      </c>
      <c r="X48" s="24">
        <f t="shared" si="6"/>
        <v>1.438235481943092</v>
      </c>
      <c r="Y48" s="25"/>
    </row>
    <row r="49" spans="7:25" x14ac:dyDescent="0.25">
      <c r="G49" s="23">
        <v>33</v>
      </c>
      <c r="H49" s="29">
        <f>$B$4+G49*$C$8</f>
        <v>0.33</v>
      </c>
      <c r="I49" s="29">
        <f t="shared" si="2"/>
        <v>0.71131003272811044</v>
      </c>
      <c r="J49" s="29">
        <f>I49*$C$8</f>
        <v>7.1131003272811048E-3</v>
      </c>
      <c r="K49" s="25"/>
      <c r="T49" s="23">
        <v>33</v>
      </c>
      <c r="U49" s="29">
        <f>$B$4+T49*$C$8</f>
        <v>0.33</v>
      </c>
      <c r="V49" s="29">
        <f t="shared" si="4"/>
        <v>0.71131003272811044</v>
      </c>
      <c r="W49" s="34">
        <v>2</v>
      </c>
      <c r="X49" s="24">
        <f t="shared" si="6"/>
        <v>1.4226200654562209</v>
      </c>
      <c r="Y49" s="25"/>
    </row>
    <row r="50" spans="7:25" x14ac:dyDescent="0.25">
      <c r="G50" s="23">
        <v>34</v>
      </c>
      <c r="H50" s="29">
        <f>$B$4+G50*$C$8</f>
        <v>0.34</v>
      </c>
      <c r="I50" s="29">
        <f t="shared" si="2"/>
        <v>0.70354825785697472</v>
      </c>
      <c r="J50" s="29">
        <f>I50*$C$8</f>
        <v>7.0354825785697477E-3</v>
      </c>
      <c r="K50" s="25"/>
      <c r="T50" s="23">
        <v>34</v>
      </c>
      <c r="U50" s="29">
        <f>$B$4+T50*$C$8</f>
        <v>0.34</v>
      </c>
      <c r="V50" s="29">
        <f t="shared" si="4"/>
        <v>0.70354825785697472</v>
      </c>
      <c r="W50" s="34">
        <v>2</v>
      </c>
      <c r="X50" s="24">
        <f t="shared" si="6"/>
        <v>1.4070965157139494</v>
      </c>
      <c r="Y50" s="25"/>
    </row>
    <row r="51" spans="7:25" x14ac:dyDescent="0.25">
      <c r="G51" s="23">
        <v>35</v>
      </c>
      <c r="H51" s="29">
        <f>$B$4+G51*$C$8</f>
        <v>0.35000000000000003</v>
      </c>
      <c r="I51" s="29">
        <f t="shared" si="2"/>
        <v>0.69583163914620649</v>
      </c>
      <c r="J51" s="29">
        <f>I51*$C$8</f>
        <v>6.958316391462065E-3</v>
      </c>
      <c r="K51" s="25"/>
      <c r="T51" s="23">
        <v>35</v>
      </c>
      <c r="U51" s="29">
        <f>$B$4+T51*$C$8</f>
        <v>0.35000000000000003</v>
      </c>
      <c r="V51" s="29">
        <f t="shared" si="4"/>
        <v>0.69583163914620649</v>
      </c>
      <c r="W51" s="34">
        <v>2</v>
      </c>
      <c r="X51" s="24">
        <f t="shared" si="6"/>
        <v>1.391663278292413</v>
      </c>
      <c r="Y51" s="25"/>
    </row>
    <row r="52" spans="7:25" x14ac:dyDescent="0.25">
      <c r="G52" s="23">
        <v>36</v>
      </c>
      <c r="H52" s="29">
        <f>$B$4+G52*$C$8</f>
        <v>0.36</v>
      </c>
      <c r="I52" s="29">
        <f t="shared" si="2"/>
        <v>0.6881594291749521</v>
      </c>
      <c r="J52" s="29">
        <f>I52*$C$8</f>
        <v>6.8815942917495208E-3</v>
      </c>
      <c r="K52" s="25"/>
      <c r="T52" s="23">
        <v>36</v>
      </c>
      <c r="U52" s="29">
        <f>$B$4+T52*$C$8</f>
        <v>0.36</v>
      </c>
      <c r="V52" s="29">
        <f t="shared" si="4"/>
        <v>0.6881594291749521</v>
      </c>
      <c r="W52" s="34">
        <v>2</v>
      </c>
      <c r="X52" s="24">
        <f t="shared" si="6"/>
        <v>1.3763188583499042</v>
      </c>
      <c r="Y52" s="25"/>
    </row>
    <row r="53" spans="7:25" x14ac:dyDescent="0.25">
      <c r="G53" s="23">
        <v>37</v>
      </c>
      <c r="H53" s="29">
        <f>$B$4+G53*$C$8</f>
        <v>0.37</v>
      </c>
      <c r="I53" s="29">
        <f t="shared" si="2"/>
        <v>0.68053090920148496</v>
      </c>
      <c r="J53" s="29">
        <f>I53*$C$8</f>
        <v>6.8053090920148496E-3</v>
      </c>
      <c r="K53" s="25"/>
      <c r="T53" s="23">
        <v>37</v>
      </c>
      <c r="U53" s="29">
        <f>$B$4+T53*$C$8</f>
        <v>0.37</v>
      </c>
      <c r="V53" s="29">
        <f t="shared" si="4"/>
        <v>0.68053090920148496</v>
      </c>
      <c r="W53" s="34">
        <v>2</v>
      </c>
      <c r="X53" s="24">
        <f t="shared" si="6"/>
        <v>1.3610618184029699</v>
      </c>
      <c r="Y53" s="25"/>
    </row>
    <row r="54" spans="7:25" x14ac:dyDescent="0.25">
      <c r="G54" s="23">
        <v>38</v>
      </c>
      <c r="H54" s="29">
        <f>$B$4+G54*$C$8</f>
        <v>0.38</v>
      </c>
      <c r="I54" s="29">
        <f t="shared" si="2"/>
        <v>0.67294538809892057</v>
      </c>
      <c r="J54" s="29">
        <f>I54*$C$8</f>
        <v>6.7294538809892059E-3</v>
      </c>
      <c r="K54" s="25"/>
      <c r="T54" s="23">
        <v>38</v>
      </c>
      <c r="U54" s="29">
        <f>$B$4+T54*$C$8</f>
        <v>0.38</v>
      </c>
      <c r="V54" s="29">
        <f t="shared" si="4"/>
        <v>0.67294538809892057</v>
      </c>
      <c r="W54" s="34">
        <v>2</v>
      </c>
      <c r="X54" s="24">
        <f t="shared" si="6"/>
        <v>1.3458907761978411</v>
      </c>
      <c r="Y54" s="25"/>
    </row>
    <row r="55" spans="7:25" x14ac:dyDescent="0.25">
      <c r="G55" s="23">
        <v>39</v>
      </c>
      <c r="H55" s="29">
        <f>$B$4+G55*$C$8</f>
        <v>0.39</v>
      </c>
      <c r="I55" s="29">
        <f t="shared" si="2"/>
        <v>0.66540220133619643</v>
      </c>
      <c r="J55" s="29">
        <f>I55*$C$8</f>
        <v>6.6540220133619642E-3</v>
      </c>
      <c r="K55" s="25"/>
      <c r="T55" s="23">
        <v>39</v>
      </c>
      <c r="U55" s="29">
        <f>$B$4+T55*$C$8</f>
        <v>0.39</v>
      </c>
      <c r="V55" s="29">
        <f t="shared" si="4"/>
        <v>0.66540220133619643</v>
      </c>
      <c r="W55" s="34">
        <v>2</v>
      </c>
      <c r="X55" s="24">
        <f t="shared" si="6"/>
        <v>1.3308044026723929</v>
      </c>
      <c r="Y55" s="25"/>
    </row>
    <row r="56" spans="7:25" x14ac:dyDescent="0.25">
      <c r="G56" s="23">
        <v>40</v>
      </c>
      <c r="H56" s="29">
        <f>$B$4+G56*$C$8</f>
        <v>0.4</v>
      </c>
      <c r="I56" s="29">
        <f t="shared" si="2"/>
        <v>0.65790071000206085</v>
      </c>
      <c r="J56" s="29">
        <f>I56*$C$8</f>
        <v>6.5790071000206085E-3</v>
      </c>
      <c r="K56" s="25"/>
      <c r="T56" s="23">
        <v>40</v>
      </c>
      <c r="U56" s="29">
        <f>$B$4+T56*$C$8</f>
        <v>0.4</v>
      </c>
      <c r="V56" s="29">
        <f t="shared" si="4"/>
        <v>0.65790071000206085</v>
      </c>
      <c r="W56" s="34">
        <v>2</v>
      </c>
      <c r="X56" s="24">
        <f t="shared" si="6"/>
        <v>1.3158014200041217</v>
      </c>
      <c r="Y56" s="25"/>
    </row>
    <row r="57" spans="7:25" x14ac:dyDescent="0.25">
      <c r="G57" s="23">
        <v>41</v>
      </c>
      <c r="H57" s="29">
        <f>$B$4+G57*$C$8</f>
        <v>0.41000000000000003</v>
      </c>
      <c r="I57" s="29">
        <f t="shared" si="2"/>
        <v>0.65044029986993268</v>
      </c>
      <c r="J57" s="29">
        <f>I57*$C$8</f>
        <v>6.5044029986993266E-3</v>
      </c>
      <c r="K57" s="25"/>
      <c r="T57" s="23">
        <v>41</v>
      </c>
      <c r="U57" s="29">
        <f>$B$4+T57*$C$8</f>
        <v>0.41000000000000003</v>
      </c>
      <c r="V57" s="29">
        <f t="shared" si="4"/>
        <v>0.65044029986993268</v>
      </c>
      <c r="W57" s="34">
        <v>2</v>
      </c>
      <c r="X57" s="24">
        <f t="shared" si="6"/>
        <v>1.3008805997398654</v>
      </c>
      <c r="Y57" s="25"/>
    </row>
    <row r="58" spans="7:25" x14ac:dyDescent="0.25">
      <c r="G58" s="23">
        <v>42</v>
      </c>
      <c r="H58" s="29">
        <f>$B$4+G58*$C$8</f>
        <v>0.42</v>
      </c>
      <c r="I58" s="29">
        <f t="shared" si="2"/>
        <v>0.64302038050162558</v>
      </c>
      <c r="J58" s="29">
        <f>I58*$C$8</f>
        <v>6.4302038050162557E-3</v>
      </c>
      <c r="K58" s="25"/>
      <c r="T58" s="23">
        <v>42</v>
      </c>
      <c r="U58" s="29">
        <f>$B$4+T58*$C$8</f>
        <v>0.42</v>
      </c>
      <c r="V58" s="29">
        <f t="shared" si="4"/>
        <v>0.64302038050162558</v>
      </c>
      <c r="W58" s="34">
        <v>2</v>
      </c>
      <c r="X58" s="24">
        <f t="shared" si="6"/>
        <v>1.2860407610032512</v>
      </c>
      <c r="Y58" s="25"/>
    </row>
    <row r="59" spans="7:25" x14ac:dyDescent="0.25">
      <c r="G59" s="23">
        <v>43</v>
      </c>
      <c r="H59" s="29">
        <f>$B$4+G59*$C$8</f>
        <v>0.43</v>
      </c>
      <c r="I59" s="29">
        <f t="shared" si="2"/>
        <v>0.6356403843880315</v>
      </c>
      <c r="J59" s="29">
        <f>I59*$C$8</f>
        <v>6.3564038438803155E-3</v>
      </c>
      <c r="K59" s="25"/>
      <c r="T59" s="23">
        <v>43</v>
      </c>
      <c r="U59" s="29">
        <f>$B$4+T59*$C$8</f>
        <v>0.43</v>
      </c>
      <c r="V59" s="29">
        <f t="shared" si="4"/>
        <v>0.6356403843880315</v>
      </c>
      <c r="W59" s="34">
        <v>2</v>
      </c>
      <c r="X59" s="24">
        <f t="shared" si="6"/>
        <v>1.271280768776063</v>
      </c>
      <c r="Y59" s="25"/>
    </row>
    <row r="60" spans="7:25" x14ac:dyDescent="0.25">
      <c r="G60" s="23">
        <v>44</v>
      </c>
      <c r="H60" s="29">
        <f>$B$4+G60*$C$8</f>
        <v>0.44</v>
      </c>
      <c r="I60" s="29">
        <f t="shared" si="2"/>
        <v>0.62829976612497462</v>
      </c>
      <c r="J60" s="29">
        <f>I60*$C$8</f>
        <v>6.2829976612497462E-3</v>
      </c>
      <c r="K60" s="25"/>
      <c r="T60" s="23">
        <v>44</v>
      </c>
      <c r="U60" s="29">
        <f>$B$4+T60*$C$8</f>
        <v>0.44</v>
      </c>
      <c r="V60" s="29">
        <f t="shared" si="4"/>
        <v>0.62829976612497462</v>
      </c>
      <c r="W60" s="34">
        <v>2</v>
      </c>
      <c r="X60" s="24">
        <f t="shared" si="6"/>
        <v>1.2565995322499492</v>
      </c>
      <c r="Y60" s="25"/>
    </row>
    <row r="61" spans="7:25" x14ac:dyDescent="0.25">
      <c r="G61" s="23">
        <v>45</v>
      </c>
      <c r="H61" s="29">
        <f>$B$4+G61*$C$8</f>
        <v>0.45</v>
      </c>
      <c r="I61" s="29">
        <f t="shared" si="2"/>
        <v>0.62099800162253582</v>
      </c>
      <c r="J61" s="29">
        <f>I61*$C$8</f>
        <v>6.2099800162253582E-3</v>
      </c>
      <c r="K61" s="25"/>
      <c r="T61" s="23">
        <v>45</v>
      </c>
      <c r="U61" s="29">
        <f>$B$4+T61*$C$8</f>
        <v>0.45</v>
      </c>
      <c r="V61" s="29">
        <f t="shared" si="4"/>
        <v>0.62099800162253582</v>
      </c>
      <c r="W61" s="34">
        <v>2</v>
      </c>
      <c r="X61" s="24">
        <f t="shared" si="6"/>
        <v>1.2419960032450716</v>
      </c>
      <c r="Y61" s="25"/>
    </row>
    <row r="62" spans="7:25" x14ac:dyDescent="0.25">
      <c r="G62" s="23">
        <v>46</v>
      </c>
      <c r="H62" s="29">
        <f>$B$4+G62*$C$8</f>
        <v>0.46</v>
      </c>
      <c r="I62" s="29">
        <f t="shared" si="2"/>
        <v>0.61373458734625019</v>
      </c>
      <c r="J62" s="29">
        <f>I62*$C$8</f>
        <v>6.1373458734625018E-3</v>
      </c>
      <c r="K62" s="25"/>
      <c r="T62" s="23">
        <v>46</v>
      </c>
      <c r="U62" s="29">
        <f>$B$4+T62*$C$8</f>
        <v>0.46</v>
      </c>
      <c r="V62" s="29">
        <f t="shared" si="4"/>
        <v>0.61373458734625019</v>
      </c>
      <c r="W62" s="34">
        <v>2</v>
      </c>
      <c r="X62" s="24">
        <f t="shared" si="6"/>
        <v>1.2274691746925004</v>
      </c>
      <c r="Y62" s="25"/>
    </row>
    <row r="63" spans="7:25" x14ac:dyDescent="0.25">
      <c r="G63" s="23">
        <v>47</v>
      </c>
      <c r="H63" s="29">
        <f>$B$4+G63*$C$8</f>
        <v>0.47000000000000003</v>
      </c>
      <c r="I63" s="29">
        <f t="shared" si="2"/>
        <v>0.6065090395886592</v>
      </c>
      <c r="J63" s="29">
        <f>I63*$C$8</f>
        <v>6.0650903958865921E-3</v>
      </c>
      <c r="K63" s="25"/>
      <c r="T63" s="23">
        <v>47</v>
      </c>
      <c r="U63" s="29">
        <f>$B$4+T63*$C$8</f>
        <v>0.47000000000000003</v>
      </c>
      <c r="V63" s="29">
        <f t="shared" si="4"/>
        <v>0.6065090395886592</v>
      </c>
      <c r="W63" s="34">
        <v>2</v>
      </c>
      <c r="X63" s="24">
        <f t="shared" si="6"/>
        <v>1.2130180791773184</v>
      </c>
      <c r="Y63" s="25"/>
    </row>
    <row r="64" spans="7:25" x14ac:dyDescent="0.25">
      <c r="G64" s="23">
        <v>48</v>
      </c>
      <c r="H64" s="29">
        <f>$B$4+G64*$C$8</f>
        <v>0.48</v>
      </c>
      <c r="I64" s="29">
        <f t="shared" si="2"/>
        <v>0.59932089376978659</v>
      </c>
      <c r="J64" s="29">
        <f>I64*$C$8</f>
        <v>5.9932089376978663E-3</v>
      </c>
      <c r="K64" s="25"/>
      <c r="T64" s="23">
        <v>48</v>
      </c>
      <c r="U64" s="29">
        <f>$B$4+T64*$C$8</f>
        <v>0.48</v>
      </c>
      <c r="V64" s="29">
        <f t="shared" si="4"/>
        <v>0.59932089376978659</v>
      </c>
      <c r="W64" s="34">
        <v>2</v>
      </c>
      <c r="X64" s="24">
        <f t="shared" si="6"/>
        <v>1.1986417875395732</v>
      </c>
      <c r="Y64" s="25"/>
    </row>
    <row r="65" spans="7:25" x14ac:dyDescent="0.25">
      <c r="G65" s="23">
        <v>49</v>
      </c>
      <c r="H65" s="29">
        <f>$B$4+G65*$C$8</f>
        <v>0.49</v>
      </c>
      <c r="I65" s="29">
        <f t="shared" si="2"/>
        <v>0.59216970376518219</v>
      </c>
      <c r="J65" s="29">
        <f>I65*$C$8</f>
        <v>5.9216970376518218E-3</v>
      </c>
      <c r="K65" s="25"/>
      <c r="T65" s="23">
        <v>49</v>
      </c>
      <c r="U65" s="29">
        <f>$B$4+T65*$C$8</f>
        <v>0.49</v>
      </c>
      <c r="V65" s="29">
        <f t="shared" si="4"/>
        <v>0.59216970376518219</v>
      </c>
      <c r="W65" s="34">
        <v>2</v>
      </c>
      <c r="X65" s="24">
        <f t="shared" si="6"/>
        <v>1.1843394075303644</v>
      </c>
      <c r="Y65" s="25"/>
    </row>
    <row r="66" spans="7:25" x14ac:dyDescent="0.25">
      <c r="G66" s="23">
        <v>50</v>
      </c>
      <c r="H66" s="29">
        <f>$B$4+G66*$C$8</f>
        <v>0.5</v>
      </c>
      <c r="I66" s="29">
        <f t="shared" si="2"/>
        <v>0.58505504126024854</v>
      </c>
      <c r="J66" s="29">
        <f>I66*$C$8</f>
        <v>5.8505504126024855E-3</v>
      </c>
      <c r="K66" s="25"/>
      <c r="T66" s="23">
        <v>50</v>
      </c>
      <c r="U66" s="29">
        <f>$B$4+T66*$C$8</f>
        <v>0.5</v>
      </c>
      <c r="V66" s="29">
        <f t="shared" si="4"/>
        <v>0.58505504126024854</v>
      </c>
      <c r="W66" s="34">
        <v>2</v>
      </c>
      <c r="X66" s="24">
        <f t="shared" si="6"/>
        <v>1.1701100825204971</v>
      </c>
      <c r="Y66" s="25"/>
    </row>
    <row r="67" spans="7:25" x14ac:dyDescent="0.25">
      <c r="G67" s="23">
        <v>51</v>
      </c>
      <c r="H67" s="29">
        <f>$B$4+G67*$C$8</f>
        <v>0.51</v>
      </c>
      <c r="I67" s="29">
        <f t="shared" si="2"/>
        <v>0.57797649512963656</v>
      </c>
      <c r="J67" s="29">
        <f>I67*$C$8</f>
        <v>5.7797649512963661E-3</v>
      </c>
      <c r="K67" s="25"/>
      <c r="T67" s="23">
        <v>51</v>
      </c>
      <c r="U67" s="29">
        <f>$B$4+T67*$C$8</f>
        <v>0.51</v>
      </c>
      <c r="V67" s="29">
        <f t="shared" si="4"/>
        <v>0.57797649512963656</v>
      </c>
      <c r="W67" s="34">
        <v>2</v>
      </c>
      <c r="X67" s="24">
        <f t="shared" si="6"/>
        <v>1.1559529902592731</v>
      </c>
      <c r="Y67" s="25"/>
    </row>
    <row r="68" spans="7:25" x14ac:dyDescent="0.25">
      <c r="G68" s="23">
        <v>52</v>
      </c>
      <c r="H68" s="29">
        <f>$B$4+G68*$C$8</f>
        <v>0.52</v>
      </c>
      <c r="I68" s="29">
        <f t="shared" si="2"/>
        <v>0.57093367084055913</v>
      </c>
      <c r="J68" s="29">
        <f>I68*$C$8</f>
        <v>5.7093367084055918E-3</v>
      </c>
      <c r="K68" s="25"/>
      <c r="T68" s="23">
        <v>52</v>
      </c>
      <c r="U68" s="29">
        <f>$B$4+T68*$C$8</f>
        <v>0.52</v>
      </c>
      <c r="V68" s="29">
        <f t="shared" si="4"/>
        <v>0.57093367084055913</v>
      </c>
      <c r="W68" s="34">
        <v>2</v>
      </c>
      <c r="X68" s="24">
        <f t="shared" si="6"/>
        <v>1.1418673416811183</v>
      </c>
      <c r="Y68" s="25"/>
    </row>
    <row r="69" spans="7:25" x14ac:dyDescent="0.25">
      <c r="G69" s="23">
        <v>53</v>
      </c>
      <c r="H69" s="29">
        <f>$B$4+G69*$C$8</f>
        <v>0.53</v>
      </c>
      <c r="I69" s="29">
        <f t="shared" si="2"/>
        <v>0.56392618987892873</v>
      </c>
      <c r="J69" s="29">
        <f>I69*$C$8</f>
        <v>5.6392618987892874E-3</v>
      </c>
      <c r="K69" s="25"/>
      <c r="T69" s="23">
        <v>53</v>
      </c>
      <c r="U69" s="29">
        <f>$B$4+T69*$C$8</f>
        <v>0.53</v>
      </c>
      <c r="V69" s="29">
        <f t="shared" si="4"/>
        <v>0.56392618987892873</v>
      </c>
      <c r="W69" s="34">
        <v>2</v>
      </c>
      <c r="X69" s="24">
        <f t="shared" si="6"/>
        <v>1.1278523797578575</v>
      </c>
      <c r="Y69" s="25"/>
    </row>
    <row r="70" spans="7:25" x14ac:dyDescent="0.25">
      <c r="G70" s="23">
        <v>54</v>
      </c>
      <c r="H70" s="29">
        <f>$B$4+G70*$C$8</f>
        <v>0.54</v>
      </c>
      <c r="I70" s="29">
        <f t="shared" si="2"/>
        <v>0.55695368919728838</v>
      </c>
      <c r="J70" s="29">
        <f>I70*$C$8</f>
        <v>5.5695368919728835E-3</v>
      </c>
      <c r="K70" s="25"/>
      <c r="T70" s="23">
        <v>54</v>
      </c>
      <c r="U70" s="29">
        <f>$B$4+T70*$C$8</f>
        <v>0.54</v>
      </c>
      <c r="V70" s="29">
        <f t="shared" si="4"/>
        <v>0.55695368919728838</v>
      </c>
      <c r="W70" s="34">
        <v>2</v>
      </c>
      <c r="X70" s="24">
        <f t="shared" si="6"/>
        <v>1.1139073783945768</v>
      </c>
      <c r="Y70" s="25"/>
    </row>
    <row r="71" spans="7:25" x14ac:dyDescent="0.25">
      <c r="G71" s="23">
        <v>55</v>
      </c>
      <c r="H71" s="29">
        <f>$B$4+G71*$C$8</f>
        <v>0.55000000000000004</v>
      </c>
      <c r="I71" s="29">
        <f t="shared" si="2"/>
        <v>0.55001582068355204</v>
      </c>
      <c r="J71" s="29">
        <f>I71*$C$8</f>
        <v>5.5001582068355207E-3</v>
      </c>
      <c r="K71" s="25"/>
      <c r="T71" s="23">
        <v>55</v>
      </c>
      <c r="U71" s="29">
        <f>$B$4+T71*$C$8</f>
        <v>0.55000000000000004</v>
      </c>
      <c r="V71" s="29">
        <f t="shared" si="4"/>
        <v>0.55001582068355204</v>
      </c>
      <c r="W71" s="34">
        <v>2</v>
      </c>
      <c r="X71" s="24">
        <f t="shared" si="6"/>
        <v>1.1000316413671041</v>
      </c>
      <c r="Y71" s="25"/>
    </row>
    <row r="72" spans="7:25" x14ac:dyDescent="0.25">
      <c r="G72" s="23">
        <v>56</v>
      </c>
      <c r="H72" s="29">
        <f>$B$4+G72*$C$8</f>
        <v>0.56000000000000005</v>
      </c>
      <c r="I72" s="29">
        <f t="shared" si="2"/>
        <v>0.54311225064962565</v>
      </c>
      <c r="J72" s="29">
        <f>I72*$C$8</f>
        <v>5.4311225064962564E-3</v>
      </c>
      <c r="K72" s="25"/>
      <c r="T72" s="23">
        <v>56</v>
      </c>
      <c r="U72" s="29">
        <f>$B$4+T72*$C$8</f>
        <v>0.56000000000000005</v>
      </c>
      <c r="V72" s="29">
        <f t="shared" si="4"/>
        <v>0.54311225064962565</v>
      </c>
      <c r="W72" s="34">
        <v>2</v>
      </c>
      <c r="X72" s="24">
        <f t="shared" si="6"/>
        <v>1.0862245012992513</v>
      </c>
      <c r="Y72" s="25"/>
    </row>
    <row r="73" spans="7:25" x14ac:dyDescent="0.25">
      <c r="G73" s="23">
        <v>57</v>
      </c>
      <c r="H73" s="29">
        <f>$B$4+G73*$C$8</f>
        <v>0.57000000000000006</v>
      </c>
      <c r="I73" s="29">
        <f t="shared" si="2"/>
        <v>0.5362426593390246</v>
      </c>
      <c r="J73" s="29">
        <f>I73*$C$8</f>
        <v>5.3624265933902458E-3</v>
      </c>
      <c r="K73" s="25"/>
      <c r="T73" s="23">
        <v>57</v>
      </c>
      <c r="U73" s="29">
        <f>$B$4+T73*$C$8</f>
        <v>0.57000000000000006</v>
      </c>
      <c r="V73" s="29">
        <f t="shared" si="4"/>
        <v>0.5362426593390246</v>
      </c>
      <c r="W73" s="34">
        <v>2</v>
      </c>
      <c r="X73" s="24">
        <f t="shared" si="6"/>
        <v>1.0724853186780492</v>
      </c>
      <c r="Y73" s="25"/>
    </row>
    <row r="74" spans="7:25" x14ac:dyDescent="0.25">
      <c r="G74" s="23">
        <v>58</v>
      </c>
      <c r="H74" s="29">
        <f>$B$4+G74*$C$8</f>
        <v>0.57999999999999996</v>
      </c>
      <c r="I74" s="29">
        <f t="shared" si="2"/>
        <v>0.5294067404526499</v>
      </c>
      <c r="J74" s="29">
        <f>I74*$C$8</f>
        <v>5.2940674045264995E-3</v>
      </c>
      <c r="K74" s="25"/>
      <c r="T74" s="23">
        <v>58</v>
      </c>
      <c r="U74" s="29">
        <f>$B$4+T74*$C$8</f>
        <v>0.57999999999999996</v>
      </c>
      <c r="V74" s="29">
        <f t="shared" si="4"/>
        <v>0.5294067404526499</v>
      </c>
      <c r="W74" s="34">
        <v>2</v>
      </c>
      <c r="X74" s="24">
        <f t="shared" si="6"/>
        <v>1.0588134809052998</v>
      </c>
      <c r="Y74" s="25"/>
    </row>
    <row r="75" spans="7:25" x14ac:dyDescent="0.25">
      <c r="G75" s="23">
        <v>59</v>
      </c>
      <c r="H75" s="29">
        <f>$B$4+G75*$C$8</f>
        <v>0.59</v>
      </c>
      <c r="I75" s="29">
        <f t="shared" si="2"/>
        <v>0.52260420069192681</v>
      </c>
      <c r="J75" s="29">
        <f>I75*$C$8</f>
        <v>5.2260420069192683E-3</v>
      </c>
      <c r="K75" s="25"/>
      <c r="T75" s="23">
        <v>59</v>
      </c>
      <c r="U75" s="29">
        <f>$B$4+T75*$C$8</f>
        <v>0.59</v>
      </c>
      <c r="V75" s="29">
        <f t="shared" si="4"/>
        <v>0.52260420069192681</v>
      </c>
      <c r="W75" s="34">
        <v>2</v>
      </c>
      <c r="X75" s="24">
        <f t="shared" si="6"/>
        <v>1.0452084013838536</v>
      </c>
      <c r="Y75" s="25"/>
    </row>
    <row r="76" spans="7:25" x14ac:dyDescent="0.25">
      <c r="G76" s="23">
        <v>60</v>
      </c>
      <c r="H76" s="29">
        <f>$B$4+G76*$C$8</f>
        <v>0.6</v>
      </c>
      <c r="I76" s="29">
        <f t="shared" si="2"/>
        <v>0.51583475931854894</v>
      </c>
      <c r="J76" s="29">
        <f>I76*$C$8</f>
        <v>5.1583475931854892E-3</v>
      </c>
      <c r="K76" s="25"/>
      <c r="T76" s="23">
        <v>60</v>
      </c>
      <c r="U76" s="29">
        <f>$B$4+T76*$C$8</f>
        <v>0.6</v>
      </c>
      <c r="V76" s="29">
        <f t="shared" si="4"/>
        <v>0.51583475931854894</v>
      </c>
      <c r="W76" s="34">
        <v>2</v>
      </c>
      <c r="X76" s="24">
        <f t="shared" si="6"/>
        <v>1.0316695186370979</v>
      </c>
      <c r="Y76" s="25"/>
    </row>
    <row r="77" spans="7:25" x14ac:dyDescent="0.25">
      <c r="G77" s="23">
        <v>61</v>
      </c>
      <c r="H77" s="29">
        <f>$B$4+G77*$C$8</f>
        <v>0.61</v>
      </c>
      <c r="I77" s="29">
        <f t="shared" si="2"/>
        <v>0.50909814773011153</v>
      </c>
      <c r="J77" s="29">
        <f>I77*$C$8</f>
        <v>5.0909814773011158E-3</v>
      </c>
      <c r="K77" s="25"/>
      <c r="T77" s="23">
        <v>61</v>
      </c>
      <c r="U77" s="29">
        <f>$B$4+T77*$C$8</f>
        <v>0.61</v>
      </c>
      <c r="V77" s="29">
        <f t="shared" si="4"/>
        <v>0.50909814773011153</v>
      </c>
      <c r="W77" s="34">
        <v>2</v>
      </c>
      <c r="X77" s="24">
        <f t="shared" si="6"/>
        <v>1.0181962954602231</v>
      </c>
      <c r="Y77" s="25"/>
    </row>
    <row r="78" spans="7:25" x14ac:dyDescent="0.25">
      <c r="G78" s="23">
        <v>62</v>
      </c>
      <c r="H78" s="29">
        <f>$B$4+G78*$C$8</f>
        <v>0.62</v>
      </c>
      <c r="I78" s="29">
        <f t="shared" si="2"/>
        <v>0.50239410905094684</v>
      </c>
      <c r="J78" s="29">
        <f>I78*$C$8</f>
        <v>5.0239410905094685E-3</v>
      </c>
      <c r="K78" s="25"/>
      <c r="T78" s="23">
        <v>62</v>
      </c>
      <c r="U78" s="29">
        <f>$B$4+T78*$C$8</f>
        <v>0.62</v>
      </c>
      <c r="V78" s="29">
        <f t="shared" si="4"/>
        <v>0.50239410905094684</v>
      </c>
      <c r="W78" s="34">
        <v>2</v>
      </c>
      <c r="X78" s="24">
        <f t="shared" si="6"/>
        <v>1.0047882181018937</v>
      </c>
      <c r="Y78" s="25"/>
    </row>
    <row r="79" spans="7:25" x14ac:dyDescent="0.25">
      <c r="G79" s="23">
        <v>63</v>
      </c>
      <c r="H79" s="29">
        <f>$B$4+G79*$C$8</f>
        <v>0.63</v>
      </c>
      <c r="I79" s="29">
        <f t="shared" si="2"/>
        <v>0.49572239773751653</v>
      </c>
      <c r="J79" s="29">
        <f>I79*$C$8</f>
        <v>4.9572239773751654E-3</v>
      </c>
      <c r="K79" s="25"/>
      <c r="T79" s="23">
        <v>63</v>
      </c>
      <c r="U79" s="29">
        <f>$B$4+T79*$C$8</f>
        <v>0.63</v>
      </c>
      <c r="V79" s="29">
        <f t="shared" si="4"/>
        <v>0.49572239773751653</v>
      </c>
      <c r="W79" s="34">
        <v>2</v>
      </c>
      <c r="X79" s="24">
        <f t="shared" si="6"/>
        <v>0.99144479547503306</v>
      </c>
      <c r="Y79" s="25"/>
    </row>
    <row r="80" spans="7:25" x14ac:dyDescent="0.25">
      <c r="G80" s="23">
        <v>64</v>
      </c>
      <c r="H80" s="29">
        <f>$B$4+G80*$C$8</f>
        <v>0.64</v>
      </c>
      <c r="I80" s="29">
        <f t="shared" si="2"/>
        <v>0.4890827791977394</v>
      </c>
      <c r="J80" s="29">
        <f>I80*$C$8</f>
        <v>4.8908277919773938E-3</v>
      </c>
      <c r="K80" s="25"/>
      <c r="T80" s="23">
        <v>64</v>
      </c>
      <c r="U80" s="29">
        <f>$B$4+T80*$C$8</f>
        <v>0.64</v>
      </c>
      <c r="V80" s="29">
        <f t="shared" si="4"/>
        <v>0.4890827791977394</v>
      </c>
      <c r="W80" s="34">
        <v>2</v>
      </c>
      <c r="X80" s="24">
        <f t="shared" si="6"/>
        <v>0.97816555839547881</v>
      </c>
      <c r="Y80" s="25"/>
    </row>
    <row r="81" spans="7:25" x14ac:dyDescent="0.25">
      <c r="G81" s="23">
        <v>65</v>
      </c>
      <c r="H81" s="29">
        <f>$B$4+G81*$C$8</f>
        <v>0.65</v>
      </c>
      <c r="I81" s="29">
        <f t="shared" ref="I81:I116" si="7">(COS(H81)/(1+H81))</f>
        <v>0.48247502942367027</v>
      </c>
      <c r="J81" s="29">
        <f>I81*$C$8</f>
        <v>4.8247502942367028E-3</v>
      </c>
      <c r="K81" s="25"/>
      <c r="T81" s="23">
        <v>65</v>
      </c>
      <c r="U81" s="29">
        <f>$B$4+T81*$C$8</f>
        <v>0.65</v>
      </c>
      <c r="V81" s="29">
        <f t="shared" ref="V81:V116" si="8">(COS(U81)/(1+U81))</f>
        <v>0.48247502942367027</v>
      </c>
      <c r="W81" s="34">
        <v>2</v>
      </c>
      <c r="X81" s="24">
        <f t="shared" si="6"/>
        <v>0.96495005884734053</v>
      </c>
      <c r="Y81" s="25"/>
    </row>
    <row r="82" spans="7:25" x14ac:dyDescent="0.25">
      <c r="G82" s="23">
        <v>66</v>
      </c>
      <c r="H82" s="29">
        <f>$B$4+G82*$C$8</f>
        <v>0.66</v>
      </c>
      <c r="I82" s="29">
        <f t="shared" si="7"/>
        <v>0.47589893463696686</v>
      </c>
      <c r="J82" s="29">
        <f>I82*$C$8</f>
        <v>4.758989346369669E-3</v>
      </c>
      <c r="K82" s="25"/>
      <c r="T82" s="23">
        <v>66</v>
      </c>
      <c r="U82" s="29">
        <f>$B$4+T82*$C$8</f>
        <v>0.66</v>
      </c>
      <c r="V82" s="29">
        <f t="shared" si="8"/>
        <v>0.47589893463696686</v>
      </c>
      <c r="W82" s="34">
        <v>2</v>
      </c>
      <c r="X82" s="24">
        <f t="shared" ref="X82:X116" si="9">W82*V82</f>
        <v>0.95179786927393373</v>
      </c>
      <c r="Y82" s="25"/>
    </row>
    <row r="83" spans="7:25" x14ac:dyDescent="0.25">
      <c r="G83" s="23">
        <v>67</v>
      </c>
      <c r="H83" s="29">
        <f>$B$4+G83*$C$8</f>
        <v>0.67</v>
      </c>
      <c r="I83" s="29">
        <f t="shared" si="7"/>
        <v>0.46935429094661635</v>
      </c>
      <c r="J83" s="29">
        <f>I83*$C$8</f>
        <v>4.6935429094661632E-3</v>
      </c>
      <c r="K83" s="25"/>
      <c r="T83" s="23">
        <v>67</v>
      </c>
      <c r="U83" s="29">
        <f>$B$4+T83*$C$8</f>
        <v>0.67</v>
      </c>
      <c r="V83" s="29">
        <f t="shared" si="8"/>
        <v>0.46935429094661635</v>
      </c>
      <c r="W83" s="34">
        <v>2</v>
      </c>
      <c r="X83" s="24">
        <f t="shared" si="9"/>
        <v>0.9387085818932327</v>
      </c>
      <c r="Y83" s="25"/>
    </row>
    <row r="84" spans="7:25" x14ac:dyDescent="0.25">
      <c r="G84" s="23">
        <v>68</v>
      </c>
      <c r="H84" s="29">
        <f>$B$4+G84*$C$8</f>
        <v>0.68</v>
      </c>
      <c r="I84" s="29">
        <f t="shared" si="7"/>
        <v>0.46284090401840944</v>
      </c>
      <c r="J84" s="29">
        <f>I84*$C$8</f>
        <v>4.6284090401840948E-3</v>
      </c>
      <c r="K84" s="25"/>
      <c r="T84" s="23">
        <v>68</v>
      </c>
      <c r="U84" s="29">
        <f>$B$4+T84*$C$8</f>
        <v>0.68</v>
      </c>
      <c r="V84" s="29">
        <f t="shared" si="8"/>
        <v>0.46284090401840944</v>
      </c>
      <c r="W84" s="34">
        <v>2</v>
      </c>
      <c r="X84" s="24">
        <f t="shared" si="9"/>
        <v>0.92568180803681888</v>
      </c>
      <c r="Y84" s="25"/>
    </row>
    <row r="85" spans="7:25" x14ac:dyDescent="0.25">
      <c r="G85" s="23">
        <v>69</v>
      </c>
      <c r="H85" s="29">
        <f>$B$4+G85*$C$8</f>
        <v>0.69000000000000006</v>
      </c>
      <c r="I85" s="29">
        <f t="shared" si="7"/>
        <v>0.45635858875568436</v>
      </c>
      <c r="J85" s="29">
        <f>I85*$C$8</f>
        <v>4.5635858875568433E-3</v>
      </c>
      <c r="K85" s="25"/>
      <c r="T85" s="23">
        <v>69</v>
      </c>
      <c r="U85" s="29">
        <f>$B$4+T85*$C$8</f>
        <v>0.69000000000000006</v>
      </c>
      <c r="V85" s="29">
        <f t="shared" si="8"/>
        <v>0.45635858875568436</v>
      </c>
      <c r="W85" s="34">
        <v>2</v>
      </c>
      <c r="X85" s="24">
        <f t="shared" si="9"/>
        <v>0.91271717751136872</v>
      </c>
      <c r="Y85" s="25"/>
    </row>
    <row r="86" spans="7:25" x14ac:dyDescent="0.25">
      <c r="G86" s="23">
        <v>70</v>
      </c>
      <c r="H86" s="29">
        <f>$B$4+G86*$C$8</f>
        <v>0.70000000000000007</v>
      </c>
      <c r="I86" s="29">
        <f t="shared" si="7"/>
        <v>0.44990716899087546</v>
      </c>
      <c r="J86" s="29">
        <f>I86*$C$8</f>
        <v>4.4990716899087546E-3</v>
      </c>
      <c r="K86" s="25"/>
      <c r="T86" s="23">
        <v>70</v>
      </c>
      <c r="U86" s="29">
        <f>$B$4+T86*$C$8</f>
        <v>0.70000000000000007</v>
      </c>
      <c r="V86" s="29">
        <f t="shared" si="8"/>
        <v>0.44990716899087546</v>
      </c>
      <c r="W86" s="34">
        <v>2</v>
      </c>
      <c r="X86" s="24">
        <f t="shared" si="9"/>
        <v>0.89981433798175092</v>
      </c>
      <c r="Y86" s="25"/>
    </row>
    <row r="87" spans="7:25" x14ac:dyDescent="0.25">
      <c r="G87" s="23">
        <v>71</v>
      </c>
      <c r="H87" s="29">
        <f>$B$4+G87*$C$8</f>
        <v>0.71</v>
      </c>
      <c r="I87" s="29">
        <f t="shared" si="7"/>
        <v>0.44348647718743173</v>
      </c>
      <c r="J87" s="29">
        <f>I87*$C$8</f>
        <v>4.4348647718743172E-3</v>
      </c>
      <c r="K87" s="25"/>
      <c r="T87" s="23">
        <v>71</v>
      </c>
      <c r="U87" s="29">
        <f>$B$4+T87*$C$8</f>
        <v>0.71</v>
      </c>
      <c r="V87" s="29">
        <f t="shared" si="8"/>
        <v>0.44348647718743173</v>
      </c>
      <c r="W87" s="34">
        <v>2</v>
      </c>
      <c r="X87" s="24">
        <f t="shared" si="9"/>
        <v>0.88697295437486345</v>
      </c>
      <c r="Y87" s="25"/>
    </row>
    <row r="88" spans="7:25" x14ac:dyDescent="0.25">
      <c r="G88" s="23">
        <v>72</v>
      </c>
      <c r="H88" s="29">
        <f>$B$4+G88*$C$8</f>
        <v>0.72</v>
      </c>
      <c r="I88" s="29">
        <f t="shared" si="7"/>
        <v>0.43709635415168319</v>
      </c>
      <c r="J88" s="29">
        <f>I88*$C$8</f>
        <v>4.3709635415168317E-3</v>
      </c>
      <c r="K88" s="25"/>
      <c r="T88" s="23">
        <v>72</v>
      </c>
      <c r="U88" s="29">
        <f>$B$4+T88*$C$8</f>
        <v>0.72</v>
      </c>
      <c r="V88" s="29">
        <f t="shared" si="8"/>
        <v>0.43709635415168319</v>
      </c>
      <c r="W88" s="34">
        <v>2</v>
      </c>
      <c r="X88" s="24">
        <f t="shared" si="9"/>
        <v>0.87419270830336637</v>
      </c>
      <c r="Y88" s="25"/>
    </row>
    <row r="89" spans="7:25" x14ac:dyDescent="0.25">
      <c r="G89" s="23">
        <v>73</v>
      </c>
      <c r="H89" s="29">
        <f>$B$4+G89*$C$8</f>
        <v>0.73</v>
      </c>
      <c r="I89" s="29">
        <f t="shared" si="7"/>
        <v>0.43073664875426038</v>
      </c>
      <c r="J89" s="29">
        <f>I89*$C$8</f>
        <v>4.3073664875426035E-3</v>
      </c>
      <c r="K89" s="25"/>
      <c r="T89" s="23">
        <v>73</v>
      </c>
      <c r="U89" s="29">
        <f>$B$4+T89*$C$8</f>
        <v>0.73</v>
      </c>
      <c r="V89" s="29">
        <f t="shared" si="8"/>
        <v>0.43073664875426038</v>
      </c>
      <c r="W89" s="34">
        <v>2</v>
      </c>
      <c r="X89" s="24">
        <f t="shared" si="9"/>
        <v>0.86147329750852075</v>
      </c>
      <c r="Y89" s="25"/>
    </row>
    <row r="90" spans="7:25" x14ac:dyDescent="0.25">
      <c r="G90" s="23">
        <v>74</v>
      </c>
      <c r="H90" s="29">
        <f>$B$4+G90*$C$8</f>
        <v>0.74</v>
      </c>
      <c r="I90" s="29">
        <f t="shared" si="7"/>
        <v>0.42440721766068273</v>
      </c>
      <c r="J90" s="29">
        <f>I90*$C$8</f>
        <v>4.244072176606827E-3</v>
      </c>
      <c r="K90" s="25"/>
      <c r="T90" s="23">
        <v>74</v>
      </c>
      <c r="U90" s="29">
        <f>$B$4+T90*$C$8</f>
        <v>0.74</v>
      </c>
      <c r="V90" s="29">
        <f t="shared" si="8"/>
        <v>0.42440721766068273</v>
      </c>
      <c r="W90" s="34">
        <v>2</v>
      </c>
      <c r="X90" s="24">
        <f t="shared" si="9"/>
        <v>0.84881443532136547</v>
      </c>
      <c r="Y90" s="25"/>
    </row>
    <row r="91" spans="7:25" x14ac:dyDescent="0.25">
      <c r="G91" s="23">
        <v>75</v>
      </c>
      <c r="H91" s="29">
        <f>$B$4+G91*$C$8</f>
        <v>0.75</v>
      </c>
      <c r="I91" s="29">
        <f t="shared" si="7"/>
        <v>0.41810792507075478</v>
      </c>
      <c r="J91" s="29">
        <f>I91*$C$8</f>
        <v>4.1810792507075483E-3</v>
      </c>
      <c r="K91" s="25"/>
      <c r="T91" s="23">
        <v>75</v>
      </c>
      <c r="U91" s="29">
        <f>$B$4+T91*$C$8</f>
        <v>0.75</v>
      </c>
      <c r="V91" s="29">
        <f t="shared" si="8"/>
        <v>0.41810792507075478</v>
      </c>
      <c r="W91" s="34">
        <v>2</v>
      </c>
      <c r="X91" s="24">
        <f t="shared" si="9"/>
        <v>0.83621585014150956</v>
      </c>
      <c r="Y91" s="25"/>
    </row>
    <row r="92" spans="7:25" x14ac:dyDescent="0.25">
      <c r="G92" s="23">
        <v>76</v>
      </c>
      <c r="H92" s="29">
        <f>$B$4+G92*$C$8</f>
        <v>0.76</v>
      </c>
      <c r="I92" s="29">
        <f t="shared" si="7"/>
        <v>0.41183864246642343</v>
      </c>
      <c r="J92" s="29">
        <f>I92*$C$8</f>
        <v>4.1183864246642343E-3</v>
      </c>
      <c r="K92" s="25"/>
      <c r="T92" s="23">
        <v>76</v>
      </c>
      <c r="U92" s="29">
        <f>$B$4+T92*$C$8</f>
        <v>0.76</v>
      </c>
      <c r="V92" s="29">
        <f t="shared" si="8"/>
        <v>0.41183864246642343</v>
      </c>
      <c r="W92" s="34">
        <v>2</v>
      </c>
      <c r="X92" s="24">
        <f t="shared" si="9"/>
        <v>0.82367728493284686</v>
      </c>
      <c r="Y92" s="25"/>
    </row>
    <row r="93" spans="7:25" x14ac:dyDescent="0.25">
      <c r="G93" s="23">
        <v>77</v>
      </c>
      <c r="H93" s="29">
        <f>$B$4+G93*$C$8</f>
        <v>0.77</v>
      </c>
      <c r="I93" s="29">
        <f t="shared" si="7"/>
        <v>0.40559924836776456</v>
      </c>
      <c r="J93" s="29">
        <f>I93*$C$8</f>
        <v>4.0559924836776461E-3</v>
      </c>
      <c r="K93" s="25"/>
      <c r="T93" s="23">
        <v>77</v>
      </c>
      <c r="U93" s="29">
        <f>$B$4+T93*$C$8</f>
        <v>0.77</v>
      </c>
      <c r="V93" s="29">
        <f t="shared" si="8"/>
        <v>0.40559924836776456</v>
      </c>
      <c r="W93" s="34">
        <v>2</v>
      </c>
      <c r="X93" s="24">
        <f t="shared" si="9"/>
        <v>0.81119849673552913</v>
      </c>
      <c r="Y93" s="25"/>
    </row>
    <row r="94" spans="7:25" x14ac:dyDescent="0.25">
      <c r="G94" s="23">
        <v>78</v>
      </c>
      <c r="H94" s="29">
        <f>$B$4+G94*$C$8</f>
        <v>0.78</v>
      </c>
      <c r="I94" s="29">
        <f t="shared" si="7"/>
        <v>0.39938962809678502</v>
      </c>
      <c r="J94" s="29">
        <f>I94*$C$8</f>
        <v>3.9938962809678499E-3</v>
      </c>
      <c r="K94" s="25"/>
      <c r="T94" s="23">
        <v>78</v>
      </c>
      <c r="U94" s="29">
        <f>$B$4+T94*$C$8</f>
        <v>0.78</v>
      </c>
      <c r="V94" s="29">
        <f t="shared" si="8"/>
        <v>0.39938962809678502</v>
      </c>
      <c r="W94" s="34">
        <v>2</v>
      </c>
      <c r="X94" s="24">
        <f t="shared" si="9"/>
        <v>0.79877925619357004</v>
      </c>
      <c r="Y94" s="25"/>
    </row>
    <row r="95" spans="7:25" x14ac:dyDescent="0.25">
      <c r="G95" s="23">
        <v>79</v>
      </c>
      <c r="H95" s="29">
        <f>$B$4+G95*$C$8</f>
        <v>0.79</v>
      </c>
      <c r="I95" s="29">
        <f t="shared" si="7"/>
        <v>0.39320967354873521</v>
      </c>
      <c r="J95" s="29">
        <f>I95*$C$8</f>
        <v>3.932096735487352E-3</v>
      </c>
      <c r="K95" s="25"/>
      <c r="T95" s="23">
        <v>79</v>
      </c>
      <c r="U95" s="29">
        <f>$B$4+T95*$C$8</f>
        <v>0.79</v>
      </c>
      <c r="V95" s="29">
        <f t="shared" si="8"/>
        <v>0.39320967354873521</v>
      </c>
      <c r="W95" s="34">
        <v>2</v>
      </c>
      <c r="X95" s="24">
        <f t="shared" si="9"/>
        <v>0.78641934709747041</v>
      </c>
      <c r="Y95" s="25"/>
    </row>
    <row r="96" spans="7:25" x14ac:dyDescent="0.25">
      <c r="G96" s="23">
        <v>80</v>
      </c>
      <c r="H96" s="29">
        <f>$B$4+G96*$C$8</f>
        <v>0.8</v>
      </c>
      <c r="I96" s="29">
        <f t="shared" si="7"/>
        <v>0.3870592829706474</v>
      </c>
      <c r="J96" s="29">
        <f>I96*$C$8</f>
        <v>3.8705928297064741E-3</v>
      </c>
      <c r="K96" s="25"/>
      <c r="T96" s="23">
        <v>80</v>
      </c>
      <c r="U96" s="29">
        <f>$B$4+T96*$C$8</f>
        <v>0.8</v>
      </c>
      <c r="V96" s="29">
        <f t="shared" si="8"/>
        <v>0.3870592829706474</v>
      </c>
      <c r="W96" s="34">
        <v>2</v>
      </c>
      <c r="X96" s="24">
        <f t="shared" si="9"/>
        <v>0.7741185659412948</v>
      </c>
      <c r="Y96" s="25"/>
    </row>
    <row r="97" spans="7:25" x14ac:dyDescent="0.25">
      <c r="G97" s="23">
        <v>81</v>
      </c>
      <c r="H97" s="29">
        <f>$B$4+G97*$C$8</f>
        <v>0.81</v>
      </c>
      <c r="I97" s="29">
        <f t="shared" si="7"/>
        <v>0.38093836074682152</v>
      </c>
      <c r="J97" s="29">
        <f>I97*$C$8</f>
        <v>3.8093836074682154E-3</v>
      </c>
      <c r="K97" s="25"/>
      <c r="T97" s="23">
        <v>81</v>
      </c>
      <c r="U97" s="29">
        <f>$B$4+T97*$C$8</f>
        <v>0.81</v>
      </c>
      <c r="V97" s="29">
        <f t="shared" si="8"/>
        <v>0.38093836074682152</v>
      </c>
      <c r="W97" s="34">
        <v>2</v>
      </c>
      <c r="X97" s="24">
        <f t="shared" si="9"/>
        <v>0.76187672149364305</v>
      </c>
      <c r="Y97" s="25"/>
    </row>
    <row r="98" spans="7:25" x14ac:dyDescent="0.25">
      <c r="G98" s="23">
        <v>82</v>
      </c>
      <c r="H98" s="29">
        <f>$B$4+G98*$C$8</f>
        <v>0.82000000000000006</v>
      </c>
      <c r="I98" s="29">
        <f t="shared" si="7"/>
        <v>0.37484681719099638</v>
      </c>
      <c r="J98" s="29">
        <f>I98*$C$8</f>
        <v>3.7484681719099637E-3</v>
      </c>
      <c r="K98" s="25"/>
      <c r="T98" s="23">
        <v>82</v>
      </c>
      <c r="U98" s="29">
        <f>$B$4+T98*$C$8</f>
        <v>0.82000000000000006</v>
      </c>
      <c r="V98" s="29">
        <f t="shared" si="8"/>
        <v>0.37484681719099638</v>
      </c>
      <c r="W98" s="34">
        <v>2</v>
      </c>
      <c r="X98" s="24">
        <f t="shared" si="9"/>
        <v>0.74969363438199277</v>
      </c>
      <c r="Y98" s="25"/>
    </row>
    <row r="99" spans="7:25" x14ac:dyDescent="0.25">
      <c r="G99" s="23">
        <v>83</v>
      </c>
      <c r="H99" s="29">
        <f>$B$4+G99*$C$8</f>
        <v>0.83000000000000007</v>
      </c>
      <c r="I99" s="29">
        <f t="shared" si="7"/>
        <v>0.36878456834495466</v>
      </c>
      <c r="J99" s="29">
        <f>I99*$C$8</f>
        <v>3.6878456834495464E-3</v>
      </c>
      <c r="K99" s="25"/>
      <c r="T99" s="23">
        <v>83</v>
      </c>
      <c r="U99" s="29">
        <f>$B$4+T99*$C$8</f>
        <v>0.83000000000000007</v>
      </c>
      <c r="V99" s="29">
        <f t="shared" si="8"/>
        <v>0.36878456834495466</v>
      </c>
      <c r="W99" s="34">
        <v>2</v>
      </c>
      <c r="X99" s="24">
        <f t="shared" si="9"/>
        <v>0.73756913668990931</v>
      </c>
      <c r="Y99" s="25"/>
    </row>
    <row r="100" spans="7:25" x14ac:dyDescent="0.25">
      <c r="G100" s="23">
        <v>84</v>
      </c>
      <c r="H100" s="29">
        <f>$B$4+G100*$C$8</f>
        <v>0.84</v>
      </c>
      <c r="I100" s="29">
        <f t="shared" si="7"/>
        <v>0.36275153578331965</v>
      </c>
      <c r="J100" s="29">
        <f>I100*$C$8</f>
        <v>3.6275153578331967E-3</v>
      </c>
      <c r="K100" s="25"/>
      <c r="T100" s="23">
        <v>84</v>
      </c>
      <c r="U100" s="29">
        <f>$B$4+T100*$C$8</f>
        <v>0.84</v>
      </c>
      <c r="V100" s="29">
        <f t="shared" si="8"/>
        <v>0.36275153578331965</v>
      </c>
      <c r="W100" s="34">
        <v>2</v>
      </c>
      <c r="X100" s="24">
        <f t="shared" si="9"/>
        <v>0.72550307156663929</v>
      </c>
      <c r="Y100" s="25"/>
    </row>
    <row r="101" spans="7:25" x14ac:dyDescent="0.25">
      <c r="G101" s="23">
        <v>85</v>
      </c>
      <c r="H101" s="29">
        <f>$B$4+G101*$C$8</f>
        <v>0.85</v>
      </c>
      <c r="I101" s="29">
        <f t="shared" si="7"/>
        <v>0.35674764642431467</v>
      </c>
      <c r="J101" s="29">
        <f>I101*$C$8</f>
        <v>3.5674764642431469E-3</v>
      </c>
      <c r="K101" s="25"/>
      <c r="T101" s="23">
        <v>85</v>
      </c>
      <c r="U101" s="29">
        <f>$B$4+T101*$C$8</f>
        <v>0.85</v>
      </c>
      <c r="V101" s="29">
        <f t="shared" si="8"/>
        <v>0.35674764642431467</v>
      </c>
      <c r="W101" s="34">
        <v>2</v>
      </c>
      <c r="X101" s="24">
        <f t="shared" si="9"/>
        <v>0.71349529284862934</v>
      </c>
      <c r="Y101" s="25"/>
    </row>
    <row r="102" spans="7:25" x14ac:dyDescent="0.25">
      <c r="G102" s="23">
        <v>86</v>
      </c>
      <c r="H102" s="29">
        <f>$B$4+G102*$C$8</f>
        <v>0.86</v>
      </c>
      <c r="I102" s="29">
        <f t="shared" si="7"/>
        <v>0.3507728323462645</v>
      </c>
      <c r="J102" s="29">
        <f>I102*$C$8</f>
        <v>3.507728323462645E-3</v>
      </c>
      <c r="K102" s="25"/>
      <c r="T102" s="23">
        <v>86</v>
      </c>
      <c r="U102" s="29">
        <f>$B$4+T102*$C$8</f>
        <v>0.86</v>
      </c>
      <c r="V102" s="29">
        <f t="shared" si="8"/>
        <v>0.3507728323462645</v>
      </c>
      <c r="W102" s="34">
        <v>2</v>
      </c>
      <c r="X102" s="24">
        <f t="shared" si="9"/>
        <v>0.70154566469252899</v>
      </c>
      <c r="Y102" s="25"/>
    </row>
    <row r="103" spans="7:25" x14ac:dyDescent="0.25">
      <c r="G103" s="23">
        <v>87</v>
      </c>
      <c r="H103" s="29">
        <f>$B$4+G103*$C$8</f>
        <v>0.87</v>
      </c>
      <c r="I103" s="29">
        <f t="shared" si="7"/>
        <v>0.34482703060962627</v>
      </c>
      <c r="J103" s="29">
        <f>I103*$C$8</f>
        <v>3.4482703060962627E-3</v>
      </c>
      <c r="K103" s="25"/>
      <c r="T103" s="23">
        <v>87</v>
      </c>
      <c r="U103" s="29">
        <f>$B$4+T103*$C$8</f>
        <v>0.87</v>
      </c>
      <c r="V103" s="29">
        <f t="shared" si="8"/>
        <v>0.34482703060962627</v>
      </c>
      <c r="W103" s="34">
        <v>2</v>
      </c>
      <c r="X103" s="24">
        <f t="shared" si="9"/>
        <v>0.68965406121925255</v>
      </c>
      <c r="Y103" s="25"/>
    </row>
    <row r="104" spans="7:25" x14ac:dyDescent="0.25">
      <c r="G104" s="23">
        <v>88</v>
      </c>
      <c r="H104" s="29">
        <f>$B$4+G104*$C$8</f>
        <v>0.88</v>
      </c>
      <c r="I104" s="29">
        <f t="shared" si="7"/>
        <v>0.33891018308435117</v>
      </c>
      <c r="J104" s="29">
        <f>I104*$C$8</f>
        <v>3.3891018308435119E-3</v>
      </c>
      <c r="K104" s="25"/>
      <c r="T104" s="23">
        <v>88</v>
      </c>
      <c r="U104" s="29">
        <f>$B$4+T104*$C$8</f>
        <v>0.88</v>
      </c>
      <c r="V104" s="29">
        <f t="shared" si="8"/>
        <v>0.33891018308435117</v>
      </c>
      <c r="W104" s="34">
        <v>2</v>
      </c>
      <c r="X104" s="24">
        <f t="shared" si="9"/>
        <v>0.67782036616870234</v>
      </c>
      <c r="Y104" s="25"/>
    </row>
    <row r="105" spans="7:25" x14ac:dyDescent="0.25">
      <c r="G105" s="23">
        <v>89</v>
      </c>
      <c r="H105" s="29">
        <f>$B$4+G105*$C$8</f>
        <v>0.89</v>
      </c>
      <c r="I105" s="29">
        <f t="shared" si="7"/>
        <v>0.33302223628237926</v>
      </c>
      <c r="J105" s="29">
        <f>I105*$C$8</f>
        <v>3.3302223628237926E-3</v>
      </c>
      <c r="K105" s="25"/>
      <c r="T105" s="23">
        <v>89</v>
      </c>
      <c r="U105" s="29">
        <f>$B$4+T105*$C$8</f>
        <v>0.89</v>
      </c>
      <c r="V105" s="29">
        <f t="shared" si="8"/>
        <v>0.33302223628237926</v>
      </c>
      <c r="W105" s="34">
        <v>2</v>
      </c>
      <c r="X105" s="24">
        <f t="shared" si="9"/>
        <v>0.66604447256475852</v>
      </c>
      <c r="Y105" s="25"/>
    </row>
    <row r="106" spans="7:25" x14ac:dyDescent="0.25">
      <c r="G106" s="23">
        <v>90</v>
      </c>
      <c r="H106" s="29">
        <f>$B$4+G106*$C$8</f>
        <v>0.9</v>
      </c>
      <c r="I106" s="29">
        <f t="shared" si="7"/>
        <v>0.32716314119508655</v>
      </c>
      <c r="J106" s="29">
        <f>I106*$C$8</f>
        <v>3.2716314119508655E-3</v>
      </c>
      <c r="K106" s="25"/>
      <c r="T106" s="23">
        <v>90</v>
      </c>
      <c r="U106" s="29">
        <f>$B$4+T106*$C$8</f>
        <v>0.9</v>
      </c>
      <c r="V106" s="29">
        <f t="shared" si="8"/>
        <v>0.32716314119508655</v>
      </c>
      <c r="W106" s="34">
        <v>2</v>
      </c>
      <c r="X106" s="24">
        <f t="shared" si="9"/>
        <v>0.6543262823901731</v>
      </c>
      <c r="Y106" s="25"/>
    </row>
    <row r="107" spans="7:25" x14ac:dyDescent="0.25">
      <c r="G107" s="23">
        <v>91</v>
      </c>
      <c r="H107" s="29">
        <f>$B$4+G107*$C$8</f>
        <v>0.91</v>
      </c>
      <c r="I107" s="29">
        <f t="shared" si="7"/>
        <v>0.32133285313550342</v>
      </c>
      <c r="J107" s="29">
        <f>I107*$C$8</f>
        <v>3.2133285313550343E-3</v>
      </c>
      <c r="K107" s="25"/>
      <c r="T107" s="23">
        <v>91</v>
      </c>
      <c r="U107" s="29">
        <f>$B$4+T107*$C$8</f>
        <v>0.91</v>
      </c>
      <c r="V107" s="29">
        <f t="shared" si="8"/>
        <v>0.32133285313550342</v>
      </c>
      <c r="W107" s="34">
        <v>2</v>
      </c>
      <c r="X107" s="24">
        <f t="shared" si="9"/>
        <v>0.64266570627100683</v>
      </c>
      <c r="Y107" s="25"/>
    </row>
    <row r="108" spans="7:25" x14ac:dyDescent="0.25">
      <c r="G108" s="23">
        <v>92</v>
      </c>
      <c r="H108" s="29">
        <f>$B$4+G108*$C$8</f>
        <v>0.92</v>
      </c>
      <c r="I108" s="29">
        <f t="shared" si="7"/>
        <v>0.31553133158513685</v>
      </c>
      <c r="J108" s="29">
        <f>I108*$C$8</f>
        <v>3.1553133158513688E-3</v>
      </c>
      <c r="K108" s="25"/>
      <c r="T108" s="23">
        <v>92</v>
      </c>
      <c r="U108" s="29">
        <f>$B$4+T108*$C$8</f>
        <v>0.92</v>
      </c>
      <c r="V108" s="29">
        <f t="shared" si="8"/>
        <v>0.31553133158513685</v>
      </c>
      <c r="W108" s="34">
        <v>2</v>
      </c>
      <c r="X108" s="24">
        <f t="shared" si="9"/>
        <v>0.63106266317027371</v>
      </c>
      <c r="Y108" s="25"/>
    </row>
    <row r="109" spans="7:25" x14ac:dyDescent="0.25">
      <c r="G109" s="23">
        <v>93</v>
      </c>
      <c r="H109" s="29">
        <f>$B$4+G109*$C$8</f>
        <v>0.93</v>
      </c>
      <c r="I109" s="29">
        <f t="shared" si="7"/>
        <v>0.30975854004523223</v>
      </c>
      <c r="J109" s="29">
        <f>I109*$C$8</f>
        <v>3.0975854004523223E-3</v>
      </c>
      <c r="K109" s="25"/>
      <c r="T109" s="23">
        <v>93</v>
      </c>
      <c r="U109" s="29">
        <f>$B$4+T109*$C$8</f>
        <v>0.93</v>
      </c>
      <c r="V109" s="29">
        <f t="shared" si="8"/>
        <v>0.30975854004523223</v>
      </c>
      <c r="W109" s="34">
        <v>2</v>
      </c>
      <c r="X109" s="24">
        <f t="shared" si="9"/>
        <v>0.61951708009046447</v>
      </c>
      <c r="Y109" s="25"/>
    </row>
    <row r="110" spans="7:25" x14ac:dyDescent="0.25">
      <c r="G110" s="23">
        <v>94</v>
      </c>
      <c r="H110" s="29">
        <f>$B$4+G110*$C$8</f>
        <v>0.94000000000000006</v>
      </c>
      <c r="I110" s="29">
        <f t="shared" si="7"/>
        <v>0.30401444589231863</v>
      </c>
      <c r="J110" s="29">
        <f>I110*$C$8</f>
        <v>3.0401444589231862E-3</v>
      </c>
      <c r="K110" s="25"/>
      <c r="T110" s="23">
        <v>94</v>
      </c>
      <c r="U110" s="29">
        <f>$B$4+T110*$C$8</f>
        <v>0.94000000000000006</v>
      </c>
      <c r="V110" s="29">
        <f t="shared" si="8"/>
        <v>0.30401444589231863</v>
      </c>
      <c r="W110" s="34">
        <v>2</v>
      </c>
      <c r="X110" s="24">
        <f t="shared" si="9"/>
        <v>0.60802889178463726</v>
      </c>
      <c r="Y110" s="25"/>
    </row>
    <row r="111" spans="7:25" x14ac:dyDescent="0.25">
      <c r="G111" s="23">
        <v>95</v>
      </c>
      <c r="H111" s="29">
        <f>$B$4+G111*$C$8</f>
        <v>0.95000000000000007</v>
      </c>
      <c r="I111" s="29">
        <f t="shared" si="7"/>
        <v>0.29829902023788896</v>
      </c>
      <c r="J111" s="29">
        <f>I111*$C$8</f>
        <v>2.9829902023788897E-3</v>
      </c>
      <c r="K111" s="25"/>
      <c r="T111" s="23">
        <v>95</v>
      </c>
      <c r="U111" s="29">
        <f>$B$4+T111*$C$8</f>
        <v>0.95000000000000007</v>
      </c>
      <c r="V111" s="29">
        <f t="shared" si="8"/>
        <v>0.29829902023788896</v>
      </c>
      <c r="W111" s="34">
        <v>2</v>
      </c>
      <c r="X111" s="24">
        <f t="shared" si="9"/>
        <v>0.59659804047577791</v>
      </c>
      <c r="Y111" s="25"/>
    </row>
    <row r="112" spans="7:25" x14ac:dyDescent="0.25">
      <c r="G112" s="23">
        <v>96</v>
      </c>
      <c r="H112" s="29">
        <f>$B$4+G112*$C$8</f>
        <v>0.96</v>
      </c>
      <c r="I112" s="29">
        <f t="shared" si="7"/>
        <v>0.29261223779206974</v>
      </c>
      <c r="J112" s="29">
        <f>I112*$C$8</f>
        <v>2.9261223779206975E-3</v>
      </c>
      <c r="K112" s="25"/>
      <c r="T112" s="23">
        <v>96</v>
      </c>
      <c r="U112" s="29">
        <f>$B$4+T112*$C$8</f>
        <v>0.96</v>
      </c>
      <c r="V112" s="29">
        <f t="shared" si="8"/>
        <v>0.29261223779206974</v>
      </c>
      <c r="W112" s="34">
        <v>2</v>
      </c>
      <c r="X112" s="24">
        <f t="shared" si="9"/>
        <v>0.58522447558413948</v>
      </c>
      <c r="Y112" s="25"/>
    </row>
    <row r="113" spans="7:25" x14ac:dyDescent="0.25">
      <c r="G113" s="23">
        <v>97</v>
      </c>
      <c r="H113" s="29">
        <f>$B$4+G113*$C$8</f>
        <v>0.97</v>
      </c>
      <c r="I113" s="29">
        <f t="shared" si="7"/>
        <v>0.28695407673114437</v>
      </c>
      <c r="J113" s="29">
        <f>I113*$C$8</f>
        <v>2.8695407673114438E-3</v>
      </c>
      <c r="K113" s="25"/>
      <c r="T113" s="23">
        <v>97</v>
      </c>
      <c r="U113" s="29">
        <f>$B$4+T113*$C$8</f>
        <v>0.97</v>
      </c>
      <c r="V113" s="29">
        <f t="shared" si="8"/>
        <v>0.28695407673114437</v>
      </c>
      <c r="W113" s="34">
        <v>2</v>
      </c>
      <c r="X113" s="24">
        <f t="shared" si="9"/>
        <v>0.57390815346228874</v>
      </c>
      <c r="Y113" s="25"/>
    </row>
    <row r="114" spans="7:25" x14ac:dyDescent="0.25">
      <c r="G114" s="23">
        <v>98</v>
      </c>
      <c r="H114" s="29">
        <f>$B$4+G114*$C$8</f>
        <v>0.98</v>
      </c>
      <c r="I114" s="29">
        <f t="shared" si="7"/>
        <v>0.28132451856879664</v>
      </c>
      <c r="J114" s="29">
        <f>I114*$C$8</f>
        <v>2.8132451856879665E-3</v>
      </c>
      <c r="K114" s="25"/>
      <c r="T114" s="23">
        <v>98</v>
      </c>
      <c r="U114" s="29">
        <f>$B$4+T114*$C$8</f>
        <v>0.98</v>
      </c>
      <c r="V114" s="29">
        <f t="shared" si="8"/>
        <v>0.28132451856879664</v>
      </c>
      <c r="W114" s="34">
        <v>2</v>
      </c>
      <c r="X114" s="24">
        <f t="shared" si="9"/>
        <v>0.56264903713759329</v>
      </c>
      <c r="Y114" s="25"/>
    </row>
    <row r="115" spans="7:25" x14ac:dyDescent="0.25">
      <c r="G115" s="23">
        <v>99</v>
      </c>
      <c r="H115" s="29">
        <f>$B$4+G115*$C$8</f>
        <v>0.99</v>
      </c>
      <c r="I115" s="29">
        <f t="shared" si="7"/>
        <v>0.27572354803094851</v>
      </c>
      <c r="J115" s="29">
        <f>I115*$C$8</f>
        <v>2.7572354803094851E-3</v>
      </c>
      <c r="K115" s="25"/>
      <c r="T115" s="23">
        <v>99</v>
      </c>
      <c r="U115" s="29">
        <f>$B$4+T115*$C$8</f>
        <v>0.99</v>
      </c>
      <c r="V115" s="29">
        <f t="shared" si="8"/>
        <v>0.27572354803094851</v>
      </c>
      <c r="W115" s="34">
        <v>2</v>
      </c>
      <c r="X115" s="24">
        <f t="shared" si="9"/>
        <v>0.55144709606189701</v>
      </c>
      <c r="Y115" s="25"/>
    </row>
    <row r="116" spans="7:25" ht="15.75" thickBot="1" x14ac:dyDescent="0.3">
      <c r="G116" s="26">
        <v>100</v>
      </c>
      <c r="H116" s="30">
        <f>$B$4+G116*$C$8</f>
        <v>1</v>
      </c>
      <c r="I116" s="30">
        <f t="shared" si="7"/>
        <v>0.27015115293406988</v>
      </c>
      <c r="J116" s="30">
        <f>I116*$C$8</f>
        <v>2.7015115293406991E-3</v>
      </c>
      <c r="K116" s="28"/>
      <c r="T116" s="26">
        <v>100</v>
      </c>
      <c r="U116" s="30">
        <f>$B$4+T116*$C$8</f>
        <v>1</v>
      </c>
      <c r="V116" s="30">
        <f t="shared" si="8"/>
        <v>0.27015115293406988</v>
      </c>
      <c r="W116" s="33">
        <v>1</v>
      </c>
      <c r="X116" s="27">
        <f t="shared" si="9"/>
        <v>0.27015115293406988</v>
      </c>
      <c r="Y116" s="28"/>
    </row>
    <row r="117" spans="7:25" x14ac:dyDescent="0.25">
      <c r="G117" s="1"/>
      <c r="H117" s="2"/>
      <c r="I117" s="7" t="s">
        <v>9</v>
      </c>
      <c r="J117" s="8">
        <f>SUM(J16:J116)</f>
        <v>0.60739884255185506</v>
      </c>
      <c r="K117" s="10">
        <f>ABS($F$4-J117)/$F$4</f>
        <v>1.0579732716383331E-2</v>
      </c>
      <c r="T117" s="1"/>
      <c r="U117" s="2"/>
      <c r="V117" s="7"/>
      <c r="W117" s="7" t="s">
        <v>9</v>
      </c>
      <c r="X117" s="35">
        <f>(SUM(X16:X116))*C8/2</f>
        <v>0.60104808678718502</v>
      </c>
      <c r="Y117" s="41">
        <f>ABS($F$4-X117)/$F$4</f>
        <v>1.3454657235794803E-5</v>
      </c>
    </row>
    <row r="118" spans="7:25" x14ac:dyDescent="0.25">
      <c r="M118" s="1"/>
      <c r="N118" s="2"/>
      <c r="O118" s="2"/>
      <c r="P118" s="2"/>
    </row>
    <row r="119" spans="7:25" x14ac:dyDescent="0.25">
      <c r="M119" s="1"/>
      <c r="N119" s="2"/>
      <c r="O119" s="2"/>
      <c r="P119" s="2"/>
    </row>
    <row r="120" spans="7:25" x14ac:dyDescent="0.25">
      <c r="M120" s="1"/>
      <c r="N120" s="2"/>
      <c r="O120" s="2"/>
      <c r="P120" s="2"/>
    </row>
    <row r="121" spans="7:25" x14ac:dyDescent="0.25">
      <c r="M121" s="1"/>
      <c r="N121" s="2"/>
      <c r="O121" s="2"/>
      <c r="P121" s="2"/>
    </row>
    <row r="122" spans="7:25" x14ac:dyDescent="0.25">
      <c r="M122" s="1"/>
      <c r="N122" s="2"/>
      <c r="O122" s="2"/>
      <c r="P122" s="2"/>
    </row>
  </sheetData>
  <mergeCells count="7">
    <mergeCell ref="C4:C5"/>
    <mergeCell ref="E4:E5"/>
    <mergeCell ref="F4:F5"/>
    <mergeCell ref="A13:K13"/>
    <mergeCell ref="M13:Y13"/>
    <mergeCell ref="B10:C10"/>
    <mergeCell ref="D10:E10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Riemann</vt:lpstr>
      <vt:lpstr>Trapézios</vt:lpstr>
      <vt:lpstr>Ex01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Egydio</dc:creator>
  <cp:lastModifiedBy>Jones Egydio</cp:lastModifiedBy>
  <dcterms:created xsi:type="dcterms:W3CDTF">2021-09-25T18:16:28Z</dcterms:created>
  <dcterms:modified xsi:type="dcterms:W3CDTF">2022-09-27T00:58:42Z</dcterms:modified>
</cp:coreProperties>
</file>