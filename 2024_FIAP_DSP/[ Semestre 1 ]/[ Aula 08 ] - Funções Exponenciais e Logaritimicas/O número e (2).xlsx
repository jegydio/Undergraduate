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C:\Users\jones\OneDrive\Documents\Engenharia Mauá\2021\EFB105\Módulo M4\Aula M4-01 - Funções Exponenciais e o número e-20210422\"/>
    </mc:Choice>
  </mc:AlternateContent>
  <xr:revisionPtr revIDLastSave="30" documentId="11_75221E1EB60B807BCB862760C8CFF527B29687D1" xr6:coauthVersionLast="36" xr6:coauthVersionMax="36" xr10:uidLastSave="{D6188742-EBF5-4401-95A7-D23C02BBC177}"/>
  <bookViews>
    <workbookView xWindow="3780" yWindow="0" windowWidth="20490" windowHeight="7755" activeTab="1" xr2:uid="{00000000-000D-0000-FFFF-FFFF00000000}"/>
  </bookViews>
  <sheets>
    <sheet name="O número e - Limite 01" sheetId="2" r:id="rId1"/>
    <sheet name="Planilha1" sheetId="6" r:id="rId2"/>
    <sheet name="O número e - Limite 02" sheetId="4" r:id="rId3"/>
    <sheet name="O número e - Limite 03" sheetId="3" r:id="rId4"/>
    <sheet name="Juros compostos - e" sheetId="5" r:id="rId5"/>
    <sheet name="Juros compostos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6" l="1"/>
  <c r="H20" i="5"/>
  <c r="G15" i="5"/>
  <c r="G14" i="5"/>
  <c r="G13" i="5"/>
  <c r="G12" i="5"/>
  <c r="G11" i="5"/>
  <c r="G10" i="5"/>
  <c r="G9" i="5"/>
  <c r="G8" i="5"/>
  <c r="G7" i="5"/>
  <c r="G6" i="5"/>
  <c r="H13" i="1" l="1"/>
  <c r="G6" i="1"/>
  <c r="G7" i="1"/>
  <c r="G8" i="1"/>
  <c r="G9" i="1"/>
  <c r="G10" i="1"/>
  <c r="G11" i="1"/>
  <c r="L5" i="3"/>
  <c r="L6" i="3"/>
  <c r="L7" i="3"/>
  <c r="L8" i="3"/>
  <c r="L9" i="3"/>
  <c r="L10" i="3"/>
  <c r="L11" i="3"/>
  <c r="L12" i="3"/>
  <c r="L13" i="3"/>
  <c r="I5" i="3"/>
  <c r="I6" i="3"/>
  <c r="I7" i="3"/>
  <c r="I8" i="3"/>
  <c r="I9" i="3"/>
  <c r="I10" i="3"/>
  <c r="I11" i="3"/>
  <c r="I12" i="3"/>
  <c r="F5" i="3"/>
  <c r="F6" i="3"/>
  <c r="F7" i="3"/>
  <c r="F8" i="3"/>
  <c r="F9" i="3"/>
  <c r="F10" i="3"/>
  <c r="F11" i="3"/>
  <c r="F12" i="3"/>
  <c r="F13" i="3"/>
  <c r="C5" i="3"/>
  <c r="C6" i="3"/>
  <c r="C7" i="3"/>
  <c r="C8" i="3"/>
  <c r="C9" i="3"/>
  <c r="C10" i="3"/>
  <c r="C11" i="3"/>
  <c r="C12" i="3"/>
  <c r="C13" i="3"/>
  <c r="I5" i="4"/>
  <c r="I6" i="4"/>
  <c r="I7" i="4"/>
  <c r="I8" i="4"/>
  <c r="I9" i="4"/>
  <c r="F5" i="4"/>
  <c r="F6" i="4"/>
  <c r="F7" i="4"/>
  <c r="F8" i="4"/>
  <c r="F9" i="4"/>
  <c r="F10" i="4"/>
  <c r="F11" i="4"/>
  <c r="F12" i="4"/>
  <c r="F13" i="4"/>
  <c r="C5" i="4"/>
  <c r="C6" i="4"/>
  <c r="C7" i="4"/>
  <c r="C8" i="4"/>
  <c r="C9" i="4"/>
  <c r="C10" i="4"/>
  <c r="C11" i="4"/>
  <c r="C12" i="4"/>
  <c r="C13" i="4"/>
  <c r="I5" i="2"/>
  <c r="I6" i="2"/>
  <c r="I7" i="2"/>
  <c r="I8" i="2"/>
  <c r="I9" i="2"/>
  <c r="F5" i="2"/>
  <c r="F6" i="2"/>
  <c r="F7" i="2"/>
  <c r="F8" i="2"/>
  <c r="F9" i="2"/>
  <c r="F10" i="2"/>
  <c r="F11" i="2"/>
  <c r="F12" i="2"/>
  <c r="F13" i="2"/>
  <c r="C5" i="2"/>
  <c r="C6" i="2"/>
  <c r="C7" i="2"/>
  <c r="C8" i="2"/>
  <c r="C9" i="2"/>
  <c r="C10" i="2"/>
  <c r="C11" i="2"/>
  <c r="C12" i="2"/>
  <c r="C13" i="2"/>
  <c r="B25" i="6"/>
  <c r="B2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O6" i="3" l="1"/>
  <c r="N9" i="2"/>
  <c r="F15" i="5" l="1"/>
  <c r="H15" i="5" s="1"/>
  <c r="F14" i="5"/>
  <c r="H14" i="5" s="1"/>
  <c r="H13" i="5"/>
  <c r="F13" i="5"/>
  <c r="H12" i="5"/>
  <c r="H11" i="5"/>
  <c r="H10" i="5"/>
  <c r="H9" i="5"/>
  <c r="H8" i="5"/>
  <c r="H7" i="5"/>
  <c r="H6" i="5"/>
  <c r="G5" i="5"/>
  <c r="H5" i="5" s="1"/>
  <c r="H6" i="1"/>
  <c r="H7" i="1"/>
  <c r="H8" i="1"/>
  <c r="H9" i="1"/>
  <c r="H10" i="1"/>
  <c r="H11" i="1"/>
  <c r="L4" i="3" l="1"/>
  <c r="I4" i="3"/>
  <c r="I4" i="4"/>
  <c r="F4" i="4"/>
  <c r="C4" i="4"/>
  <c r="F4" i="3" l="1"/>
  <c r="C4" i="3"/>
  <c r="I4" i="2" l="1"/>
  <c r="F4" i="2"/>
  <c r="C4" i="2"/>
  <c r="G5" i="1"/>
  <c r="H5" i="1" s="1"/>
</calcChain>
</file>

<file path=xl/sharedStrings.xml><?xml version="1.0" encoding="utf-8"?>
<sst xmlns="http://schemas.openxmlformats.org/spreadsheetml/2006/main" count="56" uniqueCount="29">
  <si>
    <t>Frequência da composição por mês, n</t>
  </si>
  <si>
    <t>n=</t>
  </si>
  <si>
    <t>Mensalmente</t>
  </si>
  <si>
    <t>A cada 15 dias</t>
  </si>
  <si>
    <t>A cada 10 dias</t>
  </si>
  <si>
    <t>A cada 6 dias</t>
  </si>
  <si>
    <t>A cada 3 dias</t>
  </si>
  <si>
    <t>A cada 2 dias</t>
  </si>
  <si>
    <t>Diariamente</t>
  </si>
  <si>
    <t>Função:</t>
  </si>
  <si>
    <t>e =</t>
  </si>
  <si>
    <t>Taxa de juros (i):</t>
  </si>
  <si>
    <r>
      <t>(1+i/n)</t>
    </r>
    <r>
      <rPr>
        <b/>
        <vertAlign val="superscript"/>
        <sz val="14"/>
        <color theme="1"/>
        <rFont val="Calibri"/>
        <family val="2"/>
        <scheme val="minor"/>
      </rPr>
      <t>n</t>
    </r>
  </si>
  <si>
    <t>Montante</t>
  </si>
  <si>
    <t>Inicial:</t>
  </si>
  <si>
    <r>
      <t>e</t>
    </r>
    <r>
      <rPr>
        <b/>
        <vertAlign val="superscript"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=</t>
    </r>
  </si>
  <si>
    <t>e=</t>
  </si>
  <si>
    <t>Anualmente</t>
  </si>
  <si>
    <t>A cada 6 meses</t>
  </si>
  <si>
    <t>A cada quadrimestre</t>
  </si>
  <si>
    <t>A cada bimestre</t>
  </si>
  <si>
    <t>Quinzenalmente</t>
  </si>
  <si>
    <t>2x por dia</t>
  </si>
  <si>
    <t>4x por dia</t>
  </si>
  <si>
    <t>por hora</t>
  </si>
  <si>
    <t>por minuto</t>
  </si>
  <si>
    <t>Frequência de capitalizações</t>
  </si>
  <si>
    <t>n</t>
  </si>
  <si>
    <t>1/n!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</si>
</sst>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0.000000"/>
    <numFmt numFmtId="166" formatCode="0.00000000"/>
    <numFmt numFmtId="167" formatCode="0.0000000"/>
    <numFmt numFmtId="168" formatCode="0.000000000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166" fontId="1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167" fontId="1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3" borderId="0" xfId="0" applyNumberFormat="1" applyFont="1" applyFill="1" applyBorder="1" applyAlignment="1">
      <alignment horizontal="center" vertical="center"/>
    </xf>
    <xf numFmtId="11" fontId="1" fillId="3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733425</xdr:colOff>
      <xdr:row>0</xdr:row>
      <xdr:rowOff>138111</xdr:rowOff>
    </xdr:from>
    <xdr:ext cx="1781175" cy="654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343025" y="138111"/>
              <a:ext cx="1781175" cy="654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=</m:t>
                        </m:r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1343025" y="138111"/>
              <a:ext cx="1781175" cy="654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〖𝑓(𝑥)=(1+1/𝑥)〗^𝑥</a:t>
              </a:r>
              <a:endParaRPr lang="pt-BR" sz="1800"/>
            </a:p>
          </xdr:txBody>
        </xdr:sp>
      </mc:Fallback>
    </mc:AlternateContent>
    <xdr:clientData/>
  </xdr:oneCellAnchor>
  <xdr:twoCellAnchor>
    <xdr:from>
      <xdr:col>9</xdr:col>
      <xdr:colOff>200025</xdr:colOff>
      <xdr:row>8</xdr:row>
      <xdr:rowOff>19050</xdr:rowOff>
    </xdr:from>
    <xdr:to>
      <xdr:col>12</xdr:col>
      <xdr:colOff>276225</xdr:colOff>
      <xdr:row>8</xdr:row>
      <xdr:rowOff>304800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15250" y="2533650"/>
          <a:ext cx="1905000" cy="285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9</xdr:col>
      <xdr:colOff>133350</xdr:colOff>
      <xdr:row>10</xdr:row>
      <xdr:rowOff>0</xdr:rowOff>
    </xdr:from>
    <xdr:ext cx="1971675" cy="942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7648575" y="3143250"/>
              <a:ext cx="1971675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unc>
                          <m:func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pt-BR" sz="1800" b="0" i="0">
                                    <a:latin typeface="Cambria Math" panose="02040503050406030204" pitchFamily="18" charset="0"/>
                                  </a:rPr>
                                  <m:t>lim</m:t>
                                </m:r>
                              </m:e>
                              <m:li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→∞</m:t>
                                </m:r>
                              </m:lim>
                            </m:limLow>
                          </m:fName>
                          <m:e>
                            <m:d>
                              <m:d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func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𝑒</m:t>
                    </m:r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7648575" y="3143250"/>
              <a:ext cx="1971675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〖lim_(𝑥→∞)⁡(1+1/𝑥)〗^𝑥=𝑒</a:t>
              </a:r>
              <a:endParaRPr lang="pt-BR" sz="18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733425</xdr:colOff>
      <xdr:row>0</xdr:row>
      <xdr:rowOff>138111</xdr:rowOff>
    </xdr:from>
    <xdr:ext cx="1781175" cy="654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343025" y="138111"/>
              <a:ext cx="1781175" cy="654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=</m:t>
                        </m:r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1343025" y="138111"/>
              <a:ext cx="1781175" cy="654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〖𝑓(𝑥)=(1+1/𝑥)〗^𝑥</a:t>
              </a:r>
              <a:endParaRPr lang="pt-BR" sz="1800"/>
            </a:p>
          </xdr:txBody>
        </xdr:sp>
      </mc:Fallback>
    </mc:AlternateContent>
    <xdr:clientData/>
  </xdr:oneCellAnchor>
  <xdr:twoCellAnchor>
    <xdr:from>
      <xdr:col>9</xdr:col>
      <xdr:colOff>200025</xdr:colOff>
      <xdr:row>8</xdr:row>
      <xdr:rowOff>19050</xdr:rowOff>
    </xdr:from>
    <xdr:to>
      <xdr:col>12</xdr:col>
      <xdr:colOff>276225</xdr:colOff>
      <xdr:row>8</xdr:row>
      <xdr:rowOff>304800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715250" y="2533650"/>
          <a:ext cx="1905000" cy="285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9</xdr:col>
      <xdr:colOff>133350</xdr:colOff>
      <xdr:row>10</xdr:row>
      <xdr:rowOff>0</xdr:rowOff>
    </xdr:from>
    <xdr:ext cx="1971675" cy="942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7648575" y="3143250"/>
              <a:ext cx="1971675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unc>
                          <m:func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pt-BR" sz="1800" b="0" i="0">
                                    <a:latin typeface="Cambria Math" panose="02040503050406030204" pitchFamily="18" charset="0"/>
                                  </a:rPr>
                                  <m:t>lim</m:t>
                                </m:r>
                              </m:e>
                              <m:li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→−∞</m:t>
                                </m:r>
                              </m:lim>
                            </m:limLow>
                          </m:fName>
                          <m:e>
                            <m:d>
                              <m:d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func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𝑒</m:t>
                    </m:r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7648575" y="3143250"/>
              <a:ext cx="1971675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〖lim┬(𝑥→−∞)⁡(1+1/𝑥)〗^𝑥=𝑒</a:t>
              </a:r>
              <a:endParaRPr lang="pt-BR" sz="18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733425</xdr:colOff>
      <xdr:row>0</xdr:row>
      <xdr:rowOff>195261</xdr:rowOff>
    </xdr:from>
    <xdr:ext cx="1781175" cy="4131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1343025" y="195261"/>
              <a:ext cx="1781175" cy="413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=</m:t>
                        </m:r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  <m:sup>
                        <m:f>
                          <m:f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1343025" y="195261"/>
              <a:ext cx="1781175" cy="413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〖𝑓(𝑥)=(1+𝑥)〗^(1/𝑥)</a:t>
              </a:r>
              <a:endParaRPr lang="pt-BR" sz="1800"/>
            </a:p>
          </xdr:txBody>
        </xdr:sp>
      </mc:Fallback>
    </mc:AlternateContent>
    <xdr:clientData/>
  </xdr:oneCellAnchor>
  <xdr:twoCellAnchor>
    <xdr:from>
      <xdr:col>13</xdr:col>
      <xdr:colOff>90487</xdr:colOff>
      <xdr:row>1</xdr:row>
      <xdr:rowOff>138113</xdr:rowOff>
    </xdr:from>
    <xdr:to>
      <xdr:col>13</xdr:col>
      <xdr:colOff>376237</xdr:colOff>
      <xdr:row>4</xdr:row>
      <xdr:rowOff>271463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5400000">
          <a:off x="10239374" y="847726"/>
          <a:ext cx="1076325" cy="285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12</xdr:col>
      <xdr:colOff>285750</xdr:colOff>
      <xdr:row>7</xdr:row>
      <xdr:rowOff>304800</xdr:rowOff>
    </xdr:from>
    <xdr:ext cx="1971675" cy="942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10220325" y="2505075"/>
              <a:ext cx="1971675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unc>
                          <m:func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pt-BR" sz="1800" b="0" i="0">
                                    <a:latin typeface="Cambria Math" panose="02040503050406030204" pitchFamily="18" charset="0"/>
                                  </a:rPr>
                                  <m:t>lim</m:t>
                                </m:r>
                              </m:e>
                              <m:li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→0</m:t>
                                </m:r>
                              </m:lim>
                            </m:limLow>
                          </m:fName>
                          <m:e>
                            <m:d>
                              <m:d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</m:func>
                      </m:e>
                      <m:sup>
                        <m:f>
                          <m:f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den>
                        </m:f>
                      </m:sup>
                    </m:sSup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𝑒</m:t>
                    </m:r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10220325" y="2505075"/>
              <a:ext cx="1971675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〖lim┬(𝑥→0)⁡(1+𝑥)〗^(1/𝑥)=𝑒</a:t>
              </a:r>
              <a:endParaRPr lang="pt-BR" sz="18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238125</xdr:colOff>
      <xdr:row>20</xdr:row>
      <xdr:rowOff>66675</xdr:rowOff>
    </xdr:from>
    <xdr:ext cx="2133600" cy="942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01E04D1-C51F-4034-950E-C61FC1909C3D}"/>
                </a:ext>
              </a:extLst>
            </xdr:cNvPr>
            <xdr:cNvSpPr txBox="1"/>
          </xdr:nvSpPr>
          <xdr:spPr>
            <a:xfrm>
              <a:off x="4752975" y="6353175"/>
              <a:ext cx="2133600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unc>
                          <m:func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pt-BR" sz="1800" b="0" i="0">
                                    <a:latin typeface="Cambria Math" panose="02040503050406030204" pitchFamily="18" charset="0"/>
                                  </a:rPr>
                                  <m:t>lim</m:t>
                                </m:r>
                              </m:e>
                              <m:li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→∞</m:t>
                                </m:r>
                              </m:lim>
                            </m:limLow>
                          </m:fName>
                          <m:e>
                            <m:d>
                              <m:d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func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𝑒</m:t>
                    </m:r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01E04D1-C51F-4034-950E-C61FC1909C3D}"/>
                </a:ext>
              </a:extLst>
            </xdr:cNvPr>
            <xdr:cNvSpPr txBox="1"/>
          </xdr:nvSpPr>
          <xdr:spPr>
            <a:xfrm>
              <a:off x="4752975" y="6353175"/>
              <a:ext cx="2133600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〖lim┬(𝑥→∞)⁡(1+1/𝑥)〗^𝑥=𝑒</a:t>
              </a:r>
              <a:endParaRPr lang="pt-BR" sz="1800"/>
            </a:p>
          </xdr:txBody>
        </xdr:sp>
      </mc:Fallback>
    </mc:AlternateContent>
    <xdr:clientData/>
  </xdr:oneCellAnchor>
  <xdr:twoCellAnchor>
    <xdr:from>
      <xdr:col>5</xdr:col>
      <xdr:colOff>185737</xdr:colOff>
      <xdr:row>18</xdr:row>
      <xdr:rowOff>52389</xdr:rowOff>
    </xdr:from>
    <xdr:to>
      <xdr:col>6</xdr:col>
      <xdr:colOff>657224</xdr:colOff>
      <xdr:row>19</xdr:row>
      <xdr:rowOff>285753</xdr:rowOff>
    </xdr:to>
    <xdr:sp macro="" textlink="">
      <xdr:nvSpPr>
        <xdr:cNvPr id="3" name="Seta dobrada para cima 3">
          <a:extLst>
            <a:ext uri="{FF2B5EF4-FFF2-40B4-BE49-F238E27FC236}">
              <a16:creationId xmlns:a16="http://schemas.microsoft.com/office/drawing/2014/main" id="{A2B6DB17-09EB-42CC-9424-4F886C13321F}"/>
            </a:ext>
          </a:extLst>
        </xdr:cNvPr>
        <xdr:cNvSpPr/>
      </xdr:nvSpPr>
      <xdr:spPr>
        <a:xfrm rot="5400000">
          <a:off x="4224336" y="3243265"/>
          <a:ext cx="547689" cy="1081087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12</xdr:row>
      <xdr:rowOff>28575</xdr:rowOff>
    </xdr:from>
    <xdr:ext cx="2133600" cy="942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6838950" y="3800475"/>
              <a:ext cx="2133600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unc>
                          <m:func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pt-BR" sz="1800" b="0" i="0">
                                    <a:latin typeface="Cambria Math" panose="02040503050406030204" pitchFamily="18" charset="0"/>
                                  </a:rPr>
                                  <m:t>lim</m:t>
                                </m:r>
                              </m:e>
                              <m:lim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→∞</m:t>
                                </m:r>
                              </m:lim>
                            </m:limLow>
                          </m:fName>
                          <m:e>
                            <m:d>
                              <m:d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𝑎</m:t>
                                    </m:r>
                                  </m:num>
                                  <m:den>
                                    <m:r>
                                      <a:rPr lang="pt-BR" sz="18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func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</m:sSup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6838950" y="3800475"/>
              <a:ext cx="2133600" cy="94297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〖lim┬(𝑥→∞)⁡(1+𝑎/𝑥)〗^𝑥=𝑒^𝑎</a:t>
              </a:r>
              <a:endParaRPr lang="pt-BR" sz="1800"/>
            </a:p>
          </xdr:txBody>
        </xdr:sp>
      </mc:Fallback>
    </mc:AlternateContent>
    <xdr:clientData/>
  </xdr:oneCellAnchor>
  <xdr:twoCellAnchor>
    <xdr:from>
      <xdr:col>5</xdr:col>
      <xdr:colOff>185737</xdr:colOff>
      <xdr:row>11</xdr:row>
      <xdr:rowOff>52389</xdr:rowOff>
    </xdr:from>
    <xdr:to>
      <xdr:col>6</xdr:col>
      <xdr:colOff>657224</xdr:colOff>
      <xdr:row>12</xdr:row>
      <xdr:rowOff>285753</xdr:rowOff>
    </xdr:to>
    <xdr:sp macro="" textlink="">
      <xdr:nvSpPr>
        <xdr:cNvPr id="4" name="Seta dobrada para cima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 rot="5400000">
          <a:off x="4224336" y="3243265"/>
          <a:ext cx="547689" cy="1081087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3"/>
  <sheetViews>
    <sheetView workbookViewId="0">
      <selection activeCell="N9" sqref="N9"/>
    </sheetView>
  </sheetViews>
  <sheetFormatPr defaultRowHeight="24.95" customHeight="1" x14ac:dyDescent="0.25"/>
  <cols>
    <col min="1" max="1" width="9.140625" style="1"/>
    <col min="2" max="2" width="12.7109375" style="4" customWidth="1"/>
    <col min="3" max="3" width="15.7109375" style="4" customWidth="1"/>
    <col min="4" max="4" width="9.140625" style="1"/>
    <col min="5" max="5" width="12.7109375" style="4" customWidth="1"/>
    <col min="6" max="6" width="15.7109375" style="4" customWidth="1"/>
    <col min="7" max="7" width="9.140625" style="1"/>
    <col min="8" max="8" width="12.7109375" style="4" customWidth="1"/>
    <col min="9" max="9" width="15.7109375" style="4" customWidth="1"/>
    <col min="10" max="13" width="9.140625" style="1"/>
    <col min="14" max="14" width="15.7109375" style="1" customWidth="1"/>
    <col min="15" max="16384" width="9.140625" style="1"/>
  </cols>
  <sheetData>
    <row r="2" spans="2:14" ht="24.95" customHeight="1" x14ac:dyDescent="0.25">
      <c r="B2" s="4" t="s">
        <v>9</v>
      </c>
    </row>
    <row r="4" spans="2:14" ht="24.95" customHeight="1" x14ac:dyDescent="0.25">
      <c r="B4" s="8">
        <v>1</v>
      </c>
      <c r="C4" s="9">
        <f>(1+1/B4)^B4</f>
        <v>2</v>
      </c>
      <c r="D4" s="6"/>
      <c r="E4" s="8">
        <v>100</v>
      </c>
      <c r="F4" s="7">
        <f>(1+1/E4)^E4</f>
        <v>2.7048138294215289</v>
      </c>
      <c r="G4" s="6"/>
      <c r="H4" s="8">
        <v>10000</v>
      </c>
      <c r="I4" s="10">
        <f>(1+1/H4)^H4</f>
        <v>2.7181459268243562</v>
      </c>
    </row>
    <row r="5" spans="2:14" ht="24.95" customHeight="1" x14ac:dyDescent="0.25">
      <c r="B5" s="8">
        <v>2</v>
      </c>
      <c r="C5" s="9">
        <f t="shared" ref="C5:C13" si="0">(1+1/B5)^B5</f>
        <v>2.25</v>
      </c>
      <c r="D5" s="6"/>
      <c r="E5" s="8">
        <v>200</v>
      </c>
      <c r="F5" s="7">
        <f t="shared" ref="F5:F13" si="1">(1+1/E5)^E5</f>
        <v>2.7115171229292927</v>
      </c>
      <c r="G5" s="6"/>
      <c r="H5" s="8">
        <v>20000</v>
      </c>
      <c r="I5" s="10">
        <f t="shared" ref="I5:I9" si="2">(1+1/H5)^H5</f>
        <v>2.7182138745330628</v>
      </c>
    </row>
    <row r="6" spans="2:14" ht="24.95" customHeight="1" x14ac:dyDescent="0.25">
      <c r="B6" s="8">
        <v>3</v>
      </c>
      <c r="C6" s="9">
        <f t="shared" si="0"/>
        <v>2.3703703703703702</v>
      </c>
      <c r="D6" s="6"/>
      <c r="E6" s="8">
        <v>300</v>
      </c>
      <c r="F6" s="7">
        <f t="shared" si="1"/>
        <v>2.7137651579427944</v>
      </c>
      <c r="G6" s="6"/>
      <c r="H6" s="8">
        <v>30000</v>
      </c>
      <c r="I6" s="10">
        <f t="shared" si="2"/>
        <v>2.7182365251512213</v>
      </c>
    </row>
    <row r="7" spans="2:14" ht="24.95" customHeight="1" x14ac:dyDescent="0.25">
      <c r="B7" s="8">
        <v>4</v>
      </c>
      <c r="C7" s="9">
        <f t="shared" si="0"/>
        <v>2.44140625</v>
      </c>
      <c r="D7" s="6"/>
      <c r="E7" s="8">
        <v>400</v>
      </c>
      <c r="F7" s="7">
        <f t="shared" si="1"/>
        <v>2.7148917443812381</v>
      </c>
      <c r="G7" s="6"/>
      <c r="H7" s="8">
        <v>40000</v>
      </c>
      <c r="I7" s="10">
        <f t="shared" si="2"/>
        <v>2.7182478507131771</v>
      </c>
    </row>
    <row r="8" spans="2:14" ht="24.95" customHeight="1" x14ac:dyDescent="0.25">
      <c r="B8" s="8">
        <v>5</v>
      </c>
      <c r="C8" s="9">
        <f t="shared" si="0"/>
        <v>2.4883199999999999</v>
      </c>
      <c r="D8" s="6"/>
      <c r="E8" s="8">
        <v>500</v>
      </c>
      <c r="F8" s="7">
        <f t="shared" si="1"/>
        <v>2.715568520651698</v>
      </c>
      <c r="G8" s="6"/>
      <c r="H8" s="8">
        <v>50000</v>
      </c>
      <c r="I8" s="10">
        <f t="shared" si="2"/>
        <v>2.7182546461335386</v>
      </c>
    </row>
    <row r="9" spans="2:14" ht="24.95" customHeight="1" x14ac:dyDescent="0.25">
      <c r="B9" s="8">
        <v>10</v>
      </c>
      <c r="C9" s="9">
        <f t="shared" si="0"/>
        <v>2.5937424601000019</v>
      </c>
      <c r="D9" s="6"/>
      <c r="E9" s="8">
        <v>1000</v>
      </c>
      <c r="F9" s="7">
        <f t="shared" si="1"/>
        <v>2.7169239322355208</v>
      </c>
      <c r="G9" s="6"/>
      <c r="H9" s="8">
        <v>100000</v>
      </c>
      <c r="I9" s="10">
        <f t="shared" si="2"/>
        <v>2.7182682371975284</v>
      </c>
      <c r="M9" s="19" t="s">
        <v>10</v>
      </c>
      <c r="N9" s="30">
        <f>EXP(1)</f>
        <v>2.7182818284590451</v>
      </c>
    </row>
    <row r="10" spans="2:14" ht="24.95" customHeight="1" x14ac:dyDescent="0.25">
      <c r="B10" s="8">
        <v>20</v>
      </c>
      <c r="C10" s="9">
        <f t="shared" si="0"/>
        <v>2.6532977051444209</v>
      </c>
      <c r="D10" s="6"/>
      <c r="E10" s="8">
        <v>2000</v>
      </c>
      <c r="F10" s="7">
        <f t="shared" si="1"/>
        <v>2.7176025693229904</v>
      </c>
      <c r="G10" s="6"/>
      <c r="H10" s="5"/>
      <c r="I10" s="5"/>
    </row>
    <row r="11" spans="2:14" ht="24.95" customHeight="1" x14ac:dyDescent="0.25">
      <c r="B11" s="8">
        <v>30</v>
      </c>
      <c r="C11" s="9">
        <f t="shared" si="0"/>
        <v>2.6743187758703022</v>
      </c>
      <c r="D11" s="6"/>
      <c r="E11" s="8">
        <v>3000</v>
      </c>
      <c r="F11" s="7">
        <f t="shared" si="1"/>
        <v>2.7178289198747816</v>
      </c>
      <c r="G11" s="6"/>
      <c r="H11" s="5"/>
      <c r="I11" s="5"/>
    </row>
    <row r="12" spans="2:14" ht="24.95" customHeight="1" x14ac:dyDescent="0.25">
      <c r="B12" s="8">
        <v>40</v>
      </c>
      <c r="C12" s="9">
        <f t="shared" si="0"/>
        <v>2.6850638383899672</v>
      </c>
      <c r="D12" s="6"/>
      <c r="E12" s="8">
        <v>4000</v>
      </c>
      <c r="F12" s="7">
        <f t="shared" si="1"/>
        <v>2.7179421210803816</v>
      </c>
      <c r="G12" s="6"/>
      <c r="H12" s="5"/>
      <c r="I12" s="5"/>
    </row>
    <row r="13" spans="2:14" ht="24.95" customHeight="1" x14ac:dyDescent="0.25">
      <c r="B13" s="8">
        <v>50</v>
      </c>
      <c r="C13" s="9">
        <f t="shared" si="0"/>
        <v>2.6915880290736047</v>
      </c>
      <c r="D13" s="6"/>
      <c r="E13" s="8">
        <v>5000</v>
      </c>
      <c r="F13" s="7">
        <f t="shared" si="1"/>
        <v>2.7180100501016717</v>
      </c>
      <c r="G13" s="6"/>
      <c r="H13" s="5"/>
      <c r="I13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34A3-C536-4E79-BBE9-47420505025B}">
  <dimension ref="A1:B25"/>
  <sheetViews>
    <sheetView tabSelected="1" topLeftCell="A14" zoomScale="130" zoomScaleNormal="130" workbookViewId="0">
      <selection activeCell="B23" activeCellId="1" sqref="B25 B23"/>
    </sheetView>
  </sheetViews>
  <sheetFormatPr defaultRowHeight="15" x14ac:dyDescent="0.25"/>
  <cols>
    <col min="2" max="2" width="18" customWidth="1"/>
  </cols>
  <sheetData>
    <row r="1" spans="1:2" ht="15.75" thickBot="1" x14ac:dyDescent="0.3">
      <c r="A1" s="39" t="s">
        <v>27</v>
      </c>
      <c r="B1" s="39" t="s">
        <v>28</v>
      </c>
    </row>
    <row r="2" spans="1:2" x14ac:dyDescent="0.25">
      <c r="A2" s="33">
        <v>0</v>
      </c>
      <c r="B2" s="33">
        <f>1/FACT(A2)</f>
        <v>1</v>
      </c>
    </row>
    <row r="3" spans="1:2" x14ac:dyDescent="0.25">
      <c r="A3" s="33">
        <v>1</v>
      </c>
      <c r="B3" s="33">
        <f t="shared" ref="B3:B22" si="0">1/FACT(A3)</f>
        <v>1</v>
      </c>
    </row>
    <row r="4" spans="1:2" x14ac:dyDescent="0.25">
      <c r="A4" s="33">
        <v>2</v>
      </c>
      <c r="B4" s="33">
        <f t="shared" si="0"/>
        <v>0.5</v>
      </c>
    </row>
    <row r="5" spans="1:2" x14ac:dyDescent="0.25">
      <c r="A5" s="33">
        <v>3</v>
      </c>
      <c r="B5" s="33">
        <f t="shared" si="0"/>
        <v>0.16666666666666666</v>
      </c>
    </row>
    <row r="6" spans="1:2" x14ac:dyDescent="0.25">
      <c r="A6" s="33">
        <v>4</v>
      </c>
      <c r="B6" s="33">
        <f t="shared" si="0"/>
        <v>4.1666666666666664E-2</v>
      </c>
    </row>
    <row r="7" spans="1:2" x14ac:dyDescent="0.25">
      <c r="A7" s="33">
        <v>5</v>
      </c>
      <c r="B7" s="33">
        <f t="shared" si="0"/>
        <v>8.3333333333333332E-3</v>
      </c>
    </row>
    <row r="8" spans="1:2" x14ac:dyDescent="0.25">
      <c r="A8" s="33">
        <v>6</v>
      </c>
      <c r="B8" s="33">
        <f t="shared" si="0"/>
        <v>1.3888888888888889E-3</v>
      </c>
    </row>
    <row r="9" spans="1:2" x14ac:dyDescent="0.25">
      <c r="A9" s="33">
        <v>7</v>
      </c>
      <c r="B9" s="33">
        <f t="shared" si="0"/>
        <v>1.9841269841269841E-4</v>
      </c>
    </row>
    <row r="10" spans="1:2" x14ac:dyDescent="0.25">
      <c r="A10" s="33">
        <v>8</v>
      </c>
      <c r="B10" s="33">
        <f t="shared" si="0"/>
        <v>2.4801587301587302E-5</v>
      </c>
    </row>
    <row r="11" spans="1:2" x14ac:dyDescent="0.25">
      <c r="A11" s="33">
        <v>9</v>
      </c>
      <c r="B11" s="33">
        <f t="shared" si="0"/>
        <v>2.7557319223985893E-6</v>
      </c>
    </row>
    <row r="12" spans="1:2" x14ac:dyDescent="0.25">
      <c r="A12" s="33">
        <v>10</v>
      </c>
      <c r="B12" s="33">
        <f t="shared" si="0"/>
        <v>2.7557319223985888E-7</v>
      </c>
    </row>
    <row r="13" spans="1:2" x14ac:dyDescent="0.25">
      <c r="A13" s="33">
        <v>11</v>
      </c>
      <c r="B13" s="33">
        <f t="shared" si="0"/>
        <v>2.505210838544172E-8</v>
      </c>
    </row>
    <row r="14" spans="1:2" x14ac:dyDescent="0.25">
      <c r="A14" s="33">
        <v>12</v>
      </c>
      <c r="B14" s="33">
        <f t="shared" si="0"/>
        <v>2.08767569878681E-9</v>
      </c>
    </row>
    <row r="15" spans="1:2" x14ac:dyDescent="0.25">
      <c r="A15" s="33">
        <v>13</v>
      </c>
      <c r="B15" s="33">
        <f t="shared" si="0"/>
        <v>1.6059043836821613E-10</v>
      </c>
    </row>
    <row r="16" spans="1:2" x14ac:dyDescent="0.25">
      <c r="A16" s="33">
        <v>14</v>
      </c>
      <c r="B16" s="33">
        <f t="shared" si="0"/>
        <v>1.1470745597729725E-11</v>
      </c>
    </row>
    <row r="17" spans="1:2" x14ac:dyDescent="0.25">
      <c r="A17" s="33">
        <v>15</v>
      </c>
      <c r="B17" s="33">
        <f t="shared" si="0"/>
        <v>7.6471637318198164E-13</v>
      </c>
    </row>
    <row r="18" spans="1:2" x14ac:dyDescent="0.25">
      <c r="A18" s="33">
        <v>16</v>
      </c>
      <c r="B18" s="33">
        <f t="shared" si="0"/>
        <v>4.7794773323873853E-14</v>
      </c>
    </row>
    <row r="19" spans="1:2" x14ac:dyDescent="0.25">
      <c r="A19" s="33">
        <v>17</v>
      </c>
      <c r="B19" s="33">
        <f t="shared" si="0"/>
        <v>2.8114572543455206E-15</v>
      </c>
    </row>
    <row r="20" spans="1:2" x14ac:dyDescent="0.25">
      <c r="A20" s="33">
        <v>18</v>
      </c>
      <c r="B20" s="33">
        <f t="shared" si="0"/>
        <v>1.5619206968586225E-16</v>
      </c>
    </row>
    <row r="21" spans="1:2" x14ac:dyDescent="0.25">
      <c r="A21" s="33">
        <v>19</v>
      </c>
      <c r="B21" s="33">
        <f t="shared" si="0"/>
        <v>8.2206352466243295E-18</v>
      </c>
    </row>
    <row r="22" spans="1:2" x14ac:dyDescent="0.25">
      <c r="A22" s="33">
        <v>20</v>
      </c>
      <c r="B22" s="33">
        <f t="shared" si="0"/>
        <v>4.1103176233121648E-19</v>
      </c>
    </row>
    <row r="23" spans="1:2" x14ac:dyDescent="0.25">
      <c r="B23" s="35">
        <f>SUM(B2:B22)</f>
        <v>2.7182818284590455</v>
      </c>
    </row>
    <row r="25" spans="1:2" x14ac:dyDescent="0.25">
      <c r="B25" s="34">
        <f>EXP(1)</f>
        <v>2.7182818284590451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3"/>
  <sheetViews>
    <sheetView workbookViewId="0">
      <selection activeCell="I9" sqref="I9"/>
    </sheetView>
  </sheetViews>
  <sheetFormatPr defaultRowHeight="24.95" customHeight="1" x14ac:dyDescent="0.25"/>
  <cols>
    <col min="1" max="1" width="9.140625" style="1"/>
    <col min="2" max="2" width="12.7109375" style="24" customWidth="1"/>
    <col min="3" max="3" width="15.7109375" style="24" customWidth="1"/>
    <col min="4" max="4" width="9.140625" style="1"/>
    <col min="5" max="5" width="12.7109375" style="24" customWidth="1"/>
    <col min="6" max="6" width="15.7109375" style="24" customWidth="1"/>
    <col min="7" max="7" width="9.140625" style="1"/>
    <col min="8" max="8" width="12.7109375" style="24" customWidth="1"/>
    <col min="9" max="9" width="15.7109375" style="24" customWidth="1"/>
    <col min="10" max="13" width="9.140625" style="1"/>
    <col min="14" max="14" width="15.7109375" style="1" customWidth="1"/>
    <col min="15" max="16384" width="9.140625" style="1"/>
  </cols>
  <sheetData>
    <row r="2" spans="2:14" ht="24.95" customHeight="1" x14ac:dyDescent="0.25">
      <c r="B2" s="24" t="s">
        <v>9</v>
      </c>
    </row>
    <row r="4" spans="2:14" ht="24.95" customHeight="1" x14ac:dyDescent="0.25">
      <c r="B4" s="8">
        <v>-2</v>
      </c>
      <c r="C4" s="9">
        <f>(1+1/B4)^B4</f>
        <v>4</v>
      </c>
      <c r="D4" s="6"/>
      <c r="E4" s="8">
        <v>-100</v>
      </c>
      <c r="F4" s="7">
        <f>(1+1/E4)^E4</f>
        <v>2.7319990264290301</v>
      </c>
      <c r="G4" s="6"/>
      <c r="H4" s="8">
        <v>-10000</v>
      </c>
      <c r="I4" s="10">
        <f>(1+1/H4)^H4</f>
        <v>2.718417755009753</v>
      </c>
    </row>
    <row r="5" spans="2:14" ht="24.95" customHeight="1" x14ac:dyDescent="0.25">
      <c r="B5" s="8">
        <v>-3</v>
      </c>
      <c r="C5" s="9">
        <f t="shared" ref="C5:C13" si="0">(1+1/B5)^B5</f>
        <v>3.3749999999999991</v>
      </c>
      <c r="D5" s="6"/>
      <c r="E5" s="8">
        <v>-200</v>
      </c>
      <c r="F5" s="7">
        <f t="shared" ref="F5:F13" si="1">(1+1/E5)^E5</f>
        <v>2.7251088293908117</v>
      </c>
      <c r="G5" s="6"/>
      <c r="H5" s="8">
        <v>-20000</v>
      </c>
      <c r="I5" s="10">
        <f t="shared" ref="I5:I9" si="2">(1+1/H5)^H5</f>
        <v>2.7183497886197125</v>
      </c>
    </row>
    <row r="6" spans="2:14" ht="24.95" customHeight="1" x14ac:dyDescent="0.25">
      <c r="B6" s="8">
        <v>-4</v>
      </c>
      <c r="C6" s="9">
        <f t="shared" si="0"/>
        <v>3.1604938271604937</v>
      </c>
      <c r="D6" s="6"/>
      <c r="E6" s="8">
        <v>-300</v>
      </c>
      <c r="F6" s="7">
        <f t="shared" si="1"/>
        <v>2.7228261854642999</v>
      </c>
      <c r="G6" s="6"/>
      <c r="H6" s="8">
        <v>-30000</v>
      </c>
      <c r="I6" s="10">
        <f t="shared" si="2"/>
        <v>2.7183271345414659</v>
      </c>
    </row>
    <row r="7" spans="2:14" ht="24.95" customHeight="1" x14ac:dyDescent="0.25">
      <c r="B7" s="8">
        <v>-5</v>
      </c>
      <c r="C7" s="9">
        <f t="shared" si="0"/>
        <v>3.0517578124999982</v>
      </c>
      <c r="D7" s="6"/>
      <c r="E7" s="8">
        <v>-400</v>
      </c>
      <c r="F7" s="7">
        <f t="shared" si="1"/>
        <v>2.7216874861166134</v>
      </c>
      <c r="G7" s="6"/>
      <c r="H7" s="8">
        <v>-40000</v>
      </c>
      <c r="I7" s="10">
        <f t="shared" si="2"/>
        <v>2.7183158077642289</v>
      </c>
    </row>
    <row r="8" spans="2:14" ht="24.95" customHeight="1" x14ac:dyDescent="0.25">
      <c r="B8" s="8">
        <v>-10</v>
      </c>
      <c r="C8" s="9">
        <f t="shared" si="0"/>
        <v>2.8679719907924399</v>
      </c>
      <c r="D8" s="6"/>
      <c r="E8" s="8">
        <v>-500</v>
      </c>
      <c r="F8" s="7">
        <f t="shared" si="1"/>
        <v>2.7210051033366796</v>
      </c>
      <c r="G8" s="6"/>
      <c r="H8" s="8">
        <v>-50000</v>
      </c>
      <c r="I8" s="10">
        <f t="shared" si="2"/>
        <v>2.7183090117733477</v>
      </c>
    </row>
    <row r="9" spans="2:14" ht="24.95" customHeight="1" x14ac:dyDescent="0.25">
      <c r="B9" s="8">
        <v>-20</v>
      </c>
      <c r="C9" s="9">
        <f t="shared" si="0"/>
        <v>2.7895098175162585</v>
      </c>
      <c r="D9" s="6"/>
      <c r="E9" s="8">
        <v>-1000</v>
      </c>
      <c r="F9" s="7">
        <f t="shared" si="1"/>
        <v>2.7196422164428289</v>
      </c>
      <c r="G9" s="6"/>
      <c r="H9" s="8">
        <v>-100000</v>
      </c>
      <c r="I9" s="10">
        <f t="shared" si="2"/>
        <v>2.7182954199789431</v>
      </c>
      <c r="M9" s="19" t="s">
        <v>10</v>
      </c>
      <c r="N9" s="16"/>
    </row>
    <row r="10" spans="2:14" ht="24.95" customHeight="1" x14ac:dyDescent="0.25">
      <c r="B10" s="8">
        <v>-30</v>
      </c>
      <c r="C10" s="9">
        <f t="shared" si="0"/>
        <v>2.7650163558422109</v>
      </c>
      <c r="D10" s="6"/>
      <c r="E10" s="8">
        <v>-2000</v>
      </c>
      <c r="F10" s="7">
        <f t="shared" si="1"/>
        <v>2.7189617105343054</v>
      </c>
      <c r="G10" s="6"/>
      <c r="H10" s="5"/>
      <c r="I10" s="5"/>
    </row>
    <row r="11" spans="2:14" ht="24.95" customHeight="1" x14ac:dyDescent="0.25">
      <c r="B11" s="8">
        <v>-40</v>
      </c>
      <c r="C11" s="9">
        <f t="shared" si="0"/>
        <v>2.7530580702226715</v>
      </c>
      <c r="D11" s="6"/>
      <c r="E11" s="8">
        <v>-3000</v>
      </c>
      <c r="F11" s="7">
        <f t="shared" si="1"/>
        <v>2.718735013905329</v>
      </c>
      <c r="G11" s="6"/>
      <c r="H11" s="5"/>
      <c r="I11" s="5"/>
    </row>
    <row r="12" spans="2:14" ht="24.95" customHeight="1" x14ac:dyDescent="0.25">
      <c r="B12" s="8">
        <v>-50</v>
      </c>
      <c r="C12" s="9">
        <f t="shared" si="0"/>
        <v>2.7459727008596118</v>
      </c>
      <c r="D12" s="6"/>
      <c r="E12" s="8">
        <v>-4000</v>
      </c>
      <c r="F12" s="7">
        <f t="shared" si="1"/>
        <v>2.7186216915735768</v>
      </c>
      <c r="G12" s="6"/>
      <c r="H12" s="5"/>
      <c r="I12" s="5"/>
    </row>
    <row r="13" spans="2:14" ht="24.95" customHeight="1" x14ac:dyDescent="0.25">
      <c r="B13" s="8">
        <v>-60</v>
      </c>
      <c r="C13" s="9">
        <f t="shared" si="0"/>
        <v>2.741285850940411</v>
      </c>
      <c r="D13" s="6"/>
      <c r="E13" s="8">
        <v>-5000</v>
      </c>
      <c r="F13" s="7">
        <f t="shared" si="1"/>
        <v>2.7185537064864085</v>
      </c>
      <c r="G13" s="6"/>
      <c r="H13" s="5"/>
      <c r="I13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3"/>
  <sheetViews>
    <sheetView workbookViewId="0">
      <selection activeCell="I18" sqref="I18"/>
    </sheetView>
  </sheetViews>
  <sheetFormatPr defaultRowHeight="24.95" customHeight="1" x14ac:dyDescent="0.25"/>
  <cols>
    <col min="1" max="1" width="9.140625" style="1"/>
    <col min="2" max="2" width="12.7109375" style="20" customWidth="1"/>
    <col min="3" max="3" width="15.7109375" style="20" customWidth="1"/>
    <col min="4" max="4" width="8.7109375" style="1" customWidth="1"/>
    <col min="5" max="5" width="12.7109375" style="20" customWidth="1"/>
    <col min="6" max="6" width="15.7109375" style="20" customWidth="1"/>
    <col min="7" max="7" width="8.7109375" style="1" customWidth="1"/>
    <col min="8" max="8" width="12.7109375" style="20" customWidth="1"/>
    <col min="9" max="9" width="15.7109375" style="20" customWidth="1"/>
    <col min="10" max="10" width="8.7109375" style="1" customWidth="1"/>
    <col min="11" max="11" width="12.7109375" style="1" customWidth="1"/>
    <col min="12" max="12" width="15.7109375" style="1" customWidth="1"/>
    <col min="13" max="13" width="9.140625" style="1"/>
    <col min="14" max="14" width="7.28515625" style="1" customWidth="1"/>
    <col min="15" max="15" width="17.28515625" style="1" customWidth="1"/>
    <col min="16" max="16384" width="9.140625" style="1"/>
  </cols>
  <sheetData>
    <row r="2" spans="2:15" ht="24.95" customHeight="1" x14ac:dyDescent="0.25">
      <c r="B2" s="20" t="s">
        <v>9</v>
      </c>
    </row>
    <row r="3" spans="2:15" ht="24.95" customHeight="1" x14ac:dyDescent="0.25">
      <c r="H3" s="27"/>
      <c r="I3" s="27"/>
    </row>
    <row r="4" spans="2:15" ht="24.95" customHeight="1" x14ac:dyDescent="0.25">
      <c r="B4" s="25">
        <v>1</v>
      </c>
      <c r="C4" s="9">
        <f>(1+B4)^(1/B4)</f>
        <v>2</v>
      </c>
      <c r="D4" s="6"/>
      <c r="E4" s="8">
        <v>0.05</v>
      </c>
      <c r="F4" s="7">
        <f>(1+E4)^(1/E4)</f>
        <v>2.6532977051444209</v>
      </c>
      <c r="G4" s="6"/>
      <c r="H4" s="25">
        <v>-0.9</v>
      </c>
      <c r="I4" s="9">
        <f>(1+H4)^(1/H4)</f>
        <v>12.915496650148842</v>
      </c>
      <c r="K4" s="8">
        <v>-0.05</v>
      </c>
      <c r="L4" s="7">
        <f>(1+K4)^(1/K4)</f>
        <v>2.7895098175162585</v>
      </c>
    </row>
    <row r="5" spans="2:15" ht="24.95" customHeight="1" x14ac:dyDescent="0.25">
      <c r="B5" s="25">
        <v>0.9</v>
      </c>
      <c r="C5" s="9">
        <f t="shared" ref="C5:C13" si="0">(1+B5)^(1/B5)</f>
        <v>2.0404512505321635</v>
      </c>
      <c r="D5" s="6"/>
      <c r="E5" s="8">
        <v>0.01</v>
      </c>
      <c r="F5" s="7">
        <f t="shared" ref="F5:F13" si="1">(1+E5)^(1/E5)</f>
        <v>2.7048138294215289</v>
      </c>
      <c r="G5" s="6"/>
      <c r="H5" s="25">
        <v>-0.8</v>
      </c>
      <c r="I5" s="9">
        <f t="shared" ref="I5:I12" si="2">(1+H5)^(1/H5)</f>
        <v>7.4767439061061021</v>
      </c>
      <c r="K5" s="8">
        <v>-0.01</v>
      </c>
      <c r="L5" s="7">
        <f t="shared" ref="L5:L13" si="3">(1+K5)^(1/K5)</f>
        <v>2.7319990264290301</v>
      </c>
    </row>
    <row r="6" spans="2:15" ht="24.95" customHeight="1" x14ac:dyDescent="0.25">
      <c r="B6" s="25">
        <v>0.8</v>
      </c>
      <c r="C6" s="9">
        <f t="shared" si="0"/>
        <v>2.0849259335188846</v>
      </c>
      <c r="D6" s="6"/>
      <c r="E6" s="8">
        <v>1E-3</v>
      </c>
      <c r="F6" s="7">
        <f t="shared" si="1"/>
        <v>2.7169239322355208</v>
      </c>
      <c r="G6" s="6"/>
      <c r="H6" s="25">
        <v>-0.7</v>
      </c>
      <c r="I6" s="9">
        <f t="shared" si="2"/>
        <v>5.5843115041821836</v>
      </c>
      <c r="K6" s="8">
        <v>-1E-3</v>
      </c>
      <c r="L6" s="7">
        <f t="shared" si="3"/>
        <v>2.7196422164428289</v>
      </c>
      <c r="N6" s="19" t="s">
        <v>16</v>
      </c>
      <c r="O6" s="32">
        <f>EXP(1)</f>
        <v>2.7182818284590451</v>
      </c>
    </row>
    <row r="7" spans="2:15" ht="24.95" customHeight="1" x14ac:dyDescent="0.25">
      <c r="B7" s="25">
        <v>0.7</v>
      </c>
      <c r="C7" s="9">
        <f t="shared" si="0"/>
        <v>2.1340900690366786</v>
      </c>
      <c r="D7" s="6"/>
      <c r="E7" s="8">
        <v>1E-4</v>
      </c>
      <c r="F7" s="7">
        <f t="shared" si="1"/>
        <v>2.7181459268243562</v>
      </c>
      <c r="G7" s="6"/>
      <c r="H7" s="25">
        <v>-0.6</v>
      </c>
      <c r="I7" s="9">
        <f t="shared" si="2"/>
        <v>4.6050393733004826</v>
      </c>
      <c r="K7" s="8">
        <v>-1E-4</v>
      </c>
      <c r="L7" s="7">
        <f t="shared" si="3"/>
        <v>2.718417755009753</v>
      </c>
    </row>
    <row r="8" spans="2:15" ht="24.95" customHeight="1" x14ac:dyDescent="0.25">
      <c r="B8" s="25">
        <v>0.6</v>
      </c>
      <c r="C8" s="9">
        <f t="shared" si="0"/>
        <v>2.1887692117461723</v>
      </c>
      <c r="D8" s="6"/>
      <c r="E8" s="8">
        <v>1.0000000000000001E-5</v>
      </c>
      <c r="F8" s="7">
        <f t="shared" si="1"/>
        <v>2.7182682371922966</v>
      </c>
      <c r="G8" s="6"/>
      <c r="H8" s="25">
        <v>-0.5</v>
      </c>
      <c r="I8" s="9">
        <f t="shared" si="2"/>
        <v>4</v>
      </c>
      <c r="K8" s="8">
        <v>-1.0000000000000001E-5</v>
      </c>
      <c r="L8" s="7">
        <f t="shared" si="3"/>
        <v>2.718295419980405</v>
      </c>
    </row>
    <row r="9" spans="2:15" ht="24.95" customHeight="1" x14ac:dyDescent="0.25">
      <c r="B9" s="25">
        <v>0.5</v>
      </c>
      <c r="C9" s="9">
        <f t="shared" si="0"/>
        <v>2.25</v>
      </c>
      <c r="D9" s="6"/>
      <c r="E9" s="8">
        <v>9.9999999999999995E-7</v>
      </c>
      <c r="F9" s="7">
        <f t="shared" si="1"/>
        <v>2.7182804691564275</v>
      </c>
      <c r="G9" s="6"/>
      <c r="H9" s="25">
        <v>-0.4</v>
      </c>
      <c r="I9" s="9">
        <f t="shared" si="2"/>
        <v>3.586095690932793</v>
      </c>
      <c r="K9" s="26">
        <v>-9.9999999999999995E-7</v>
      </c>
      <c r="L9" s="7">
        <f t="shared" si="3"/>
        <v>2.7182831876814508</v>
      </c>
    </row>
    <row r="10" spans="2:15" ht="24.95" customHeight="1" x14ac:dyDescent="0.25">
      <c r="B10" s="25">
        <v>0.4</v>
      </c>
      <c r="C10" s="9">
        <f t="shared" si="0"/>
        <v>2.3191032749750495</v>
      </c>
      <c r="D10" s="6"/>
      <c r="E10" s="26">
        <v>9.9999999999999995E-8</v>
      </c>
      <c r="F10" s="7">
        <f t="shared" si="1"/>
        <v>2.7182816939803724</v>
      </c>
      <c r="G10" s="6"/>
      <c r="H10" s="25">
        <v>-0.3</v>
      </c>
      <c r="I10" s="9">
        <f t="shared" si="2"/>
        <v>3.2835215173282992</v>
      </c>
      <c r="K10" s="26">
        <v>-9.9999999999999995E-8</v>
      </c>
      <c r="L10" s="7">
        <f t="shared" si="3"/>
        <v>2.7182819632929025</v>
      </c>
    </row>
    <row r="11" spans="2:15" ht="24.95" customHeight="1" x14ac:dyDescent="0.25">
      <c r="B11" s="25">
        <v>0.3</v>
      </c>
      <c r="C11" s="9">
        <f t="shared" si="0"/>
        <v>2.3977901640852499</v>
      </c>
      <c r="D11" s="6"/>
      <c r="E11" s="26">
        <v>1E-8</v>
      </c>
      <c r="F11" s="7">
        <f t="shared" si="1"/>
        <v>2.7182817863957975</v>
      </c>
      <c r="G11" s="6"/>
      <c r="H11" s="25">
        <v>-0.2</v>
      </c>
      <c r="I11" s="9">
        <f t="shared" si="2"/>
        <v>3.0517578124999982</v>
      </c>
      <c r="K11" s="26">
        <v>-1E-8</v>
      </c>
      <c r="L11" s="7">
        <f t="shared" si="3"/>
        <v>2.7182818520145564</v>
      </c>
    </row>
    <row r="12" spans="2:15" ht="24.95" customHeight="1" x14ac:dyDescent="0.25">
      <c r="B12" s="25">
        <v>0.2</v>
      </c>
      <c r="C12" s="9">
        <f t="shared" si="0"/>
        <v>2.4883199999999999</v>
      </c>
      <c r="D12" s="6"/>
      <c r="E12" s="26">
        <v>1.0000000000000001E-9</v>
      </c>
      <c r="F12" s="7">
        <f t="shared" si="1"/>
        <v>2.7182820520115598</v>
      </c>
      <c r="G12" s="6"/>
      <c r="H12" s="25">
        <v>-0.1</v>
      </c>
      <c r="I12" s="9">
        <f t="shared" si="2"/>
        <v>2.8679719907924399</v>
      </c>
      <c r="K12" s="26">
        <v>-1.0000000000000001E-9</v>
      </c>
      <c r="L12" s="7">
        <f t="shared" si="3"/>
        <v>2.7182817529399266</v>
      </c>
    </row>
    <row r="13" spans="2:15" ht="24.95" customHeight="1" x14ac:dyDescent="0.25">
      <c r="B13" s="25">
        <v>0.1</v>
      </c>
      <c r="C13" s="9">
        <f t="shared" si="0"/>
        <v>2.5937424601000019</v>
      </c>
      <c r="D13" s="6"/>
      <c r="E13" s="26">
        <v>1E-10</v>
      </c>
      <c r="F13" s="31">
        <f t="shared" si="1"/>
        <v>2.7182820532347876</v>
      </c>
      <c r="G13" s="6"/>
      <c r="I13" s="28"/>
      <c r="K13" s="26">
        <v>-1E-10</v>
      </c>
      <c r="L13" s="31">
        <f t="shared" si="3"/>
        <v>2.7182820535066159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55EE-571B-49E0-8449-6A9EDC43278E}">
  <dimension ref="B2:K20"/>
  <sheetViews>
    <sheetView topLeftCell="A4" workbookViewId="0">
      <selection activeCell="G15" sqref="G15"/>
    </sheetView>
  </sheetViews>
  <sheetFormatPr defaultRowHeight="24.95" customHeight="1" x14ac:dyDescent="0.25"/>
  <cols>
    <col min="1" max="3" width="9.140625" style="1"/>
    <col min="4" max="4" width="17.85546875" style="1" bestFit="1" customWidth="1"/>
    <col min="5" max="5" width="9.140625" style="1"/>
    <col min="6" max="6" width="13.28515625" style="1" customWidth="1"/>
    <col min="7" max="7" width="15" style="1" bestFit="1" customWidth="1"/>
    <col min="8" max="8" width="20.7109375" style="1" customWidth="1"/>
    <col min="9" max="9" width="18" style="1" bestFit="1" customWidth="1"/>
    <col min="10" max="10" width="4.42578125" style="1" customWidth="1"/>
    <col min="11" max="11" width="18.28515625" style="1" customWidth="1"/>
    <col min="12" max="16384" width="9.140625" style="1"/>
  </cols>
  <sheetData>
    <row r="2" spans="2:11" ht="24.95" customHeight="1" x14ac:dyDescent="0.25">
      <c r="B2" s="38" t="s">
        <v>14</v>
      </c>
      <c r="C2" s="38"/>
      <c r="D2" s="11">
        <v>100000</v>
      </c>
      <c r="F2" s="38" t="s">
        <v>11</v>
      </c>
      <c r="G2" s="38"/>
      <c r="H2" s="12">
        <v>1</v>
      </c>
    </row>
    <row r="4" spans="2:11" ht="24.75" customHeight="1" x14ac:dyDescent="0.25">
      <c r="B4" s="38" t="s">
        <v>26</v>
      </c>
      <c r="C4" s="38"/>
      <c r="D4" s="38"/>
      <c r="E4" s="38"/>
      <c r="F4" s="38"/>
      <c r="G4" s="29" t="s">
        <v>12</v>
      </c>
      <c r="H4" s="29" t="s">
        <v>13</v>
      </c>
    </row>
    <row r="5" spans="2:11" ht="24.95" customHeight="1" x14ac:dyDescent="0.25">
      <c r="B5" s="37" t="s">
        <v>17</v>
      </c>
      <c r="C5" s="37"/>
      <c r="D5" s="37"/>
      <c r="E5" s="13" t="s">
        <v>1</v>
      </c>
      <c r="F5" s="14">
        <v>1</v>
      </c>
      <c r="G5" s="15">
        <f t="shared" ref="G5:G15" si="0">(1+$H$2/F5)^F5</f>
        <v>2</v>
      </c>
      <c r="H5" s="21">
        <f>$D$2*G5</f>
        <v>200000</v>
      </c>
    </row>
    <row r="6" spans="2:11" ht="24.95" customHeight="1" x14ac:dyDescent="0.25">
      <c r="B6" s="36" t="s">
        <v>18</v>
      </c>
      <c r="C6" s="36"/>
      <c r="D6" s="36"/>
      <c r="E6" s="2" t="s">
        <v>1</v>
      </c>
      <c r="F6" s="3">
        <v>2</v>
      </c>
      <c r="G6" s="15">
        <f t="shared" si="0"/>
        <v>2.25</v>
      </c>
      <c r="H6" s="21">
        <f t="shared" ref="H6:H15" si="1">$D$2*G6</f>
        <v>225000</v>
      </c>
    </row>
    <row r="7" spans="2:11" ht="24.95" customHeight="1" x14ac:dyDescent="0.25">
      <c r="B7" s="37" t="s">
        <v>19</v>
      </c>
      <c r="C7" s="37"/>
      <c r="D7" s="37"/>
      <c r="E7" s="13" t="s">
        <v>1</v>
      </c>
      <c r="F7" s="14">
        <v>3</v>
      </c>
      <c r="G7" s="15">
        <f t="shared" si="0"/>
        <v>2.3703703703703702</v>
      </c>
      <c r="H7" s="21">
        <f t="shared" si="1"/>
        <v>237037.03703703702</v>
      </c>
    </row>
    <row r="8" spans="2:11" ht="24.95" customHeight="1" x14ac:dyDescent="0.25">
      <c r="B8" s="36" t="s">
        <v>20</v>
      </c>
      <c r="C8" s="36"/>
      <c r="D8" s="36"/>
      <c r="E8" s="2" t="s">
        <v>1</v>
      </c>
      <c r="F8" s="3">
        <v>6</v>
      </c>
      <c r="G8" s="15">
        <f t="shared" si="0"/>
        <v>2.5216263717421143</v>
      </c>
      <c r="H8" s="21">
        <f t="shared" si="1"/>
        <v>252162.63717421144</v>
      </c>
    </row>
    <row r="9" spans="2:11" ht="24.95" customHeight="1" x14ac:dyDescent="0.25">
      <c r="B9" s="37" t="s">
        <v>2</v>
      </c>
      <c r="C9" s="37"/>
      <c r="D9" s="37"/>
      <c r="E9" s="13" t="s">
        <v>1</v>
      </c>
      <c r="F9" s="14">
        <v>12</v>
      </c>
      <c r="G9" s="15">
        <f t="shared" si="0"/>
        <v>2.6130352902246763</v>
      </c>
      <c r="H9" s="21">
        <f t="shared" si="1"/>
        <v>261303.52902246764</v>
      </c>
    </row>
    <row r="10" spans="2:11" ht="24.95" customHeight="1" x14ac:dyDescent="0.25">
      <c r="B10" s="36" t="s">
        <v>21</v>
      </c>
      <c r="C10" s="36"/>
      <c r="D10" s="36"/>
      <c r="E10" s="2" t="s">
        <v>1</v>
      </c>
      <c r="F10" s="3">
        <v>24</v>
      </c>
      <c r="G10" s="15">
        <f t="shared" si="0"/>
        <v>2.6637312580685992</v>
      </c>
      <c r="H10" s="21">
        <f t="shared" si="1"/>
        <v>266373.12580685993</v>
      </c>
    </row>
    <row r="11" spans="2:11" ht="24.95" customHeight="1" x14ac:dyDescent="0.25">
      <c r="B11" s="37" t="s">
        <v>8</v>
      </c>
      <c r="C11" s="37"/>
      <c r="D11" s="37"/>
      <c r="E11" s="13" t="s">
        <v>1</v>
      </c>
      <c r="F11" s="14">
        <v>360</v>
      </c>
      <c r="G11" s="15">
        <f t="shared" si="0"/>
        <v>2.7145160248747082</v>
      </c>
      <c r="H11" s="21">
        <f t="shared" si="1"/>
        <v>271451.60248747084</v>
      </c>
      <c r="I11" s="18"/>
      <c r="K11" s="22"/>
    </row>
    <row r="12" spans="2:11" ht="24.95" customHeight="1" x14ac:dyDescent="0.25">
      <c r="B12" s="36" t="s">
        <v>22</v>
      </c>
      <c r="C12" s="36"/>
      <c r="D12" s="36"/>
      <c r="E12" s="2" t="s">
        <v>1</v>
      </c>
      <c r="F12" s="3">
        <v>720</v>
      </c>
      <c r="G12" s="15">
        <f t="shared" si="0"/>
        <v>2.716396532879167</v>
      </c>
      <c r="H12" s="21">
        <f t="shared" si="1"/>
        <v>271639.65328791668</v>
      </c>
      <c r="I12" s="18"/>
      <c r="K12" s="22"/>
    </row>
    <row r="13" spans="2:11" ht="24.95" customHeight="1" x14ac:dyDescent="0.25">
      <c r="B13" s="37" t="s">
        <v>23</v>
      </c>
      <c r="C13" s="37"/>
      <c r="D13" s="37"/>
      <c r="E13" s="13" t="s">
        <v>1</v>
      </c>
      <c r="F13" s="14">
        <f>F11*4</f>
        <v>1440</v>
      </c>
      <c r="G13" s="15">
        <f t="shared" si="0"/>
        <v>2.7173385810332893</v>
      </c>
      <c r="H13" s="21">
        <f t="shared" si="1"/>
        <v>271733.85810332891</v>
      </c>
      <c r="I13" s="18"/>
      <c r="K13" s="22"/>
    </row>
    <row r="14" spans="2:11" ht="24.95" customHeight="1" x14ac:dyDescent="0.25">
      <c r="B14" s="36" t="s">
        <v>24</v>
      </c>
      <c r="C14" s="36"/>
      <c r="D14" s="36"/>
      <c r="E14" s="2" t="s">
        <v>1</v>
      </c>
      <c r="F14" s="3">
        <f>360*24</f>
        <v>8640</v>
      </c>
      <c r="G14" s="15">
        <f t="shared" si="0"/>
        <v>2.718124537173134</v>
      </c>
      <c r="H14" s="21">
        <f t="shared" si="1"/>
        <v>271812.45371731342</v>
      </c>
      <c r="I14" s="18"/>
      <c r="K14" s="22"/>
    </row>
    <row r="15" spans="2:11" ht="24.95" customHeight="1" x14ac:dyDescent="0.25">
      <c r="B15" s="37" t="s">
        <v>25</v>
      </c>
      <c r="C15" s="37"/>
      <c r="D15" s="37"/>
      <c r="E15" s="13" t="s">
        <v>1</v>
      </c>
      <c r="F15" s="14">
        <f>360*24*60</f>
        <v>518400</v>
      </c>
      <c r="G15" s="15">
        <f t="shared" si="0"/>
        <v>2.718279206518484</v>
      </c>
      <c r="H15" s="21">
        <f t="shared" si="1"/>
        <v>271827.92065184837</v>
      </c>
      <c r="I15" s="18"/>
      <c r="K15" s="22"/>
    </row>
    <row r="16" spans="2:11" ht="24.95" customHeight="1" x14ac:dyDescent="0.25">
      <c r="B16" s="36"/>
      <c r="C16" s="36"/>
      <c r="D16" s="36"/>
      <c r="E16" s="2"/>
      <c r="F16" s="3"/>
      <c r="G16" s="15"/>
      <c r="H16" s="21"/>
      <c r="I16" s="18"/>
      <c r="K16" s="22"/>
    </row>
    <row r="17" spans="2:11" ht="24.95" customHeight="1" x14ac:dyDescent="0.25">
      <c r="B17" s="37"/>
      <c r="C17" s="37"/>
      <c r="D17" s="37"/>
      <c r="E17" s="13"/>
      <c r="F17" s="14"/>
      <c r="G17" s="15"/>
      <c r="H17" s="21"/>
      <c r="I17" s="18"/>
      <c r="K17" s="22"/>
    </row>
    <row r="18" spans="2:11" ht="24.95" customHeight="1" x14ac:dyDescent="0.25">
      <c r="B18" s="36"/>
      <c r="C18" s="36"/>
      <c r="D18" s="36"/>
      <c r="E18" s="2"/>
      <c r="F18" s="3"/>
      <c r="G18" s="15"/>
      <c r="H18" s="21"/>
      <c r="I18" s="18"/>
      <c r="K18" s="22"/>
    </row>
    <row r="19" spans="2:11" ht="24.95" customHeight="1" x14ac:dyDescent="0.25">
      <c r="F19" s="3"/>
    </row>
    <row r="20" spans="2:11" ht="24.95" customHeight="1" x14ac:dyDescent="0.25">
      <c r="F20" s="3"/>
      <c r="G20" s="19" t="s">
        <v>10</v>
      </c>
      <c r="H20" s="23">
        <f>+EXP(1)</f>
        <v>2.7182818284590451</v>
      </c>
    </row>
  </sheetData>
  <mergeCells count="17">
    <mergeCell ref="B13:D13"/>
    <mergeCell ref="B2:C2"/>
    <mergeCell ref="F2:G2"/>
    <mergeCell ref="B4:F4"/>
    <mergeCell ref="B5:D5"/>
    <mergeCell ref="B6:D6"/>
    <mergeCell ref="B7:D7"/>
    <mergeCell ref="B8:D8"/>
    <mergeCell ref="B9:D9"/>
    <mergeCell ref="B10:D10"/>
    <mergeCell ref="B11:D11"/>
    <mergeCell ref="B12:D12"/>
    <mergeCell ref="B18:D18"/>
    <mergeCell ref="B14:D14"/>
    <mergeCell ref="B15:D15"/>
    <mergeCell ref="B16:D16"/>
    <mergeCell ref="B17:D1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3"/>
  <sheetViews>
    <sheetView workbookViewId="0">
      <selection activeCell="D19" sqref="D19"/>
    </sheetView>
  </sheetViews>
  <sheetFormatPr defaultRowHeight="24.95" customHeight="1" x14ac:dyDescent="0.25"/>
  <cols>
    <col min="1" max="3" width="9.140625" style="1"/>
    <col min="4" max="4" width="20" style="1" customWidth="1"/>
    <col min="5" max="6" width="9.140625" style="1"/>
    <col min="7" max="7" width="15" style="1" bestFit="1" customWidth="1"/>
    <col min="8" max="8" width="20.7109375" style="1" customWidth="1"/>
    <col min="9" max="9" width="18" style="1" bestFit="1" customWidth="1"/>
    <col min="10" max="10" width="4.42578125" style="1" customWidth="1"/>
    <col min="11" max="11" width="18.28515625" style="1" customWidth="1"/>
    <col min="12" max="16384" width="9.140625" style="1"/>
  </cols>
  <sheetData>
    <row r="2" spans="2:11" ht="24.95" customHeight="1" x14ac:dyDescent="0.25">
      <c r="B2" s="38" t="s">
        <v>14</v>
      </c>
      <c r="C2" s="38"/>
      <c r="D2" s="11">
        <v>100000</v>
      </c>
      <c r="F2" s="38" t="s">
        <v>11</v>
      </c>
      <c r="G2" s="38"/>
      <c r="H2" s="12">
        <v>0.05</v>
      </c>
    </row>
    <row r="4" spans="2:11" ht="24.95" customHeight="1" x14ac:dyDescent="0.25">
      <c r="B4" s="38" t="s">
        <v>0</v>
      </c>
      <c r="C4" s="38"/>
      <c r="D4" s="38"/>
      <c r="E4" s="38"/>
      <c r="F4" s="38"/>
      <c r="G4" s="17" t="s">
        <v>12</v>
      </c>
      <c r="H4" s="17" t="s">
        <v>13</v>
      </c>
    </row>
    <row r="5" spans="2:11" ht="24.95" customHeight="1" x14ac:dyDescent="0.25">
      <c r="B5" s="37" t="s">
        <v>2</v>
      </c>
      <c r="C5" s="37"/>
      <c r="D5" s="37"/>
      <c r="E5" s="13" t="s">
        <v>1</v>
      </c>
      <c r="F5" s="14">
        <v>1</v>
      </c>
      <c r="G5" s="15">
        <f>(1+$H$2/F5)^F5</f>
        <v>1.05</v>
      </c>
      <c r="H5" s="21">
        <f>$D$2*G5</f>
        <v>105000</v>
      </c>
    </row>
    <row r="6" spans="2:11" ht="24.95" customHeight="1" x14ac:dyDescent="0.25">
      <c r="B6" s="36" t="s">
        <v>3</v>
      </c>
      <c r="C6" s="36"/>
      <c r="D6" s="36"/>
      <c r="E6" s="2" t="s">
        <v>1</v>
      </c>
      <c r="F6" s="3">
        <v>2</v>
      </c>
      <c r="G6" s="15">
        <f t="shared" ref="G6:G11" si="0">(1+$H$2/F6)^F6</f>
        <v>1.0506249999999999</v>
      </c>
      <c r="H6" s="21">
        <f t="shared" ref="H6:H11" si="1">$D$2*G6</f>
        <v>105062.49999999999</v>
      </c>
    </row>
    <row r="7" spans="2:11" ht="24.95" customHeight="1" x14ac:dyDescent="0.25">
      <c r="B7" s="37" t="s">
        <v>4</v>
      </c>
      <c r="C7" s="37"/>
      <c r="D7" s="37"/>
      <c r="E7" s="13" t="s">
        <v>1</v>
      </c>
      <c r="F7" s="14">
        <v>3</v>
      </c>
      <c r="G7" s="15">
        <f t="shared" si="0"/>
        <v>1.0508379629629627</v>
      </c>
      <c r="H7" s="21">
        <f t="shared" si="1"/>
        <v>105083.79629629628</v>
      </c>
    </row>
    <row r="8" spans="2:11" ht="24.95" customHeight="1" x14ac:dyDescent="0.25">
      <c r="B8" s="36" t="s">
        <v>5</v>
      </c>
      <c r="C8" s="36"/>
      <c r="D8" s="36"/>
      <c r="E8" s="2" t="s">
        <v>1</v>
      </c>
      <c r="F8" s="3">
        <v>5</v>
      </c>
      <c r="G8" s="15">
        <f t="shared" si="0"/>
        <v>1.0510100500999999</v>
      </c>
      <c r="H8" s="21">
        <f t="shared" si="1"/>
        <v>105101.00500999999</v>
      </c>
    </row>
    <row r="9" spans="2:11" ht="24.95" customHeight="1" x14ac:dyDescent="0.25">
      <c r="B9" s="37" t="s">
        <v>6</v>
      </c>
      <c r="C9" s="37"/>
      <c r="D9" s="37"/>
      <c r="E9" s="13" t="s">
        <v>1</v>
      </c>
      <c r="F9" s="14">
        <v>10</v>
      </c>
      <c r="G9" s="15">
        <f t="shared" si="0"/>
        <v>1.0511401320407892</v>
      </c>
      <c r="H9" s="21">
        <f t="shared" si="1"/>
        <v>105114.01320407892</v>
      </c>
    </row>
    <row r="10" spans="2:11" ht="24.95" customHeight="1" x14ac:dyDescent="0.25">
      <c r="B10" s="36" t="s">
        <v>7</v>
      </c>
      <c r="C10" s="36"/>
      <c r="D10" s="36"/>
      <c r="E10" s="2" t="s">
        <v>1</v>
      </c>
      <c r="F10" s="3">
        <v>15</v>
      </c>
      <c r="G10" s="15">
        <f t="shared" si="0"/>
        <v>1.0511836882797361</v>
      </c>
      <c r="H10" s="21">
        <f t="shared" si="1"/>
        <v>105118.36882797361</v>
      </c>
    </row>
    <row r="11" spans="2:11" ht="24.95" customHeight="1" x14ac:dyDescent="0.25">
      <c r="B11" s="37" t="s">
        <v>8</v>
      </c>
      <c r="C11" s="37"/>
      <c r="D11" s="37"/>
      <c r="E11" s="13" t="s">
        <v>1</v>
      </c>
      <c r="F11" s="14">
        <v>30</v>
      </c>
      <c r="G11" s="15">
        <f t="shared" si="0"/>
        <v>1.0512273429334036</v>
      </c>
      <c r="H11" s="21">
        <f t="shared" si="1"/>
        <v>105122.73429334036</v>
      </c>
      <c r="I11" s="18"/>
      <c r="K11" s="22"/>
    </row>
    <row r="12" spans="2:11" ht="24.95" customHeight="1" x14ac:dyDescent="0.25">
      <c r="F12" s="3"/>
    </row>
    <row r="13" spans="2:11" ht="24.95" customHeight="1" x14ac:dyDescent="0.25">
      <c r="F13" s="3"/>
      <c r="G13" s="19" t="s">
        <v>15</v>
      </c>
      <c r="H13" s="23">
        <f>EXP(0.05)</f>
        <v>1.0512710963760241</v>
      </c>
    </row>
  </sheetData>
  <mergeCells count="10">
    <mergeCell ref="B10:D10"/>
    <mergeCell ref="B11:D11"/>
    <mergeCell ref="B2:C2"/>
    <mergeCell ref="F2:G2"/>
    <mergeCell ref="B4:F4"/>
    <mergeCell ref="B5:D5"/>
    <mergeCell ref="B6:D6"/>
    <mergeCell ref="B7:D7"/>
    <mergeCell ref="B8:D8"/>
    <mergeCell ref="B9:D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 número e - Limite 01</vt:lpstr>
      <vt:lpstr>Planilha1</vt:lpstr>
      <vt:lpstr>O número e - Limite 02</vt:lpstr>
      <vt:lpstr>O número e - Limite 03</vt:lpstr>
      <vt:lpstr>Juros compostos - e</vt:lpstr>
      <vt:lpstr>Juros compostos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Jones Egydio</cp:lastModifiedBy>
  <dcterms:created xsi:type="dcterms:W3CDTF">2015-02-02T11:02:09Z</dcterms:created>
  <dcterms:modified xsi:type="dcterms:W3CDTF">2021-05-12T14:22:59Z</dcterms:modified>
</cp:coreProperties>
</file>