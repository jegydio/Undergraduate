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0575a3e5205fb66/Documents/_profissional/FIAP/_DSP/2024/Aula 02/"/>
    </mc:Choice>
  </mc:AlternateContent>
  <xr:revisionPtr revIDLastSave="33" documentId="11_9CC5CFB7D99CFDFC2FAA3F13709246883823F027" xr6:coauthVersionLast="47" xr6:coauthVersionMax="47" xr10:uidLastSave="{48531D3D-D1D9-4F55-96E7-7FB391D24A8D}"/>
  <bookViews>
    <workbookView xWindow="28620" yWindow="-16440" windowWidth="29040" windowHeight="16440" activeTab="1" xr2:uid="{00000000-000D-0000-FFFF-FFFF00000000}"/>
  </bookViews>
  <sheets>
    <sheet name="Dados Brutos" sheetId="1" r:id="rId1"/>
    <sheet name="Dados Trat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2" l="1"/>
  <c r="N42" i="2"/>
  <c r="N40" i="2"/>
  <c r="M42" i="2"/>
  <c r="M41" i="2"/>
  <c r="M40" i="2"/>
  <c r="G6" i="2"/>
  <c r="G7" i="2"/>
  <c r="G8" i="2"/>
  <c r="G9" i="2"/>
  <c r="G10" i="2"/>
  <c r="G11" i="2"/>
  <c r="G12" i="2"/>
  <c r="G13" i="2"/>
  <c r="G14" i="2"/>
  <c r="G15" i="2"/>
  <c r="G16" i="2"/>
  <c r="G5" i="2"/>
  <c r="F6" i="2"/>
  <c r="F7" i="2"/>
  <c r="F8" i="2"/>
  <c r="F9" i="2"/>
  <c r="F10" i="2"/>
  <c r="F11" i="2"/>
  <c r="F12" i="2"/>
  <c r="F13" i="2"/>
  <c r="F14" i="2"/>
  <c r="F15" i="2"/>
  <c r="F16" i="2"/>
  <c r="F5" i="2"/>
  <c r="E6" i="2"/>
  <c r="E7" i="2"/>
  <c r="E8" i="2"/>
  <c r="E9" i="2"/>
  <c r="E10" i="2"/>
  <c r="E11" i="2"/>
  <c r="E12" i="2"/>
  <c r="E13" i="2"/>
  <c r="E14" i="2"/>
  <c r="E15" i="2"/>
  <c r="E16" i="2"/>
  <c r="E5" i="2"/>
  <c r="D6" i="2"/>
  <c r="D7" i="2"/>
  <c r="D8" i="2"/>
  <c r="D9" i="2"/>
  <c r="D10" i="2"/>
  <c r="D11" i="2"/>
  <c r="D12" i="2"/>
  <c r="D13" i="2"/>
  <c r="D14" i="2"/>
  <c r="D15" i="2"/>
  <c r="D16" i="2"/>
  <c r="D5" i="2"/>
  <c r="C6" i="2"/>
  <c r="C7" i="2"/>
  <c r="C8" i="2"/>
  <c r="C9" i="2"/>
  <c r="C10" i="2"/>
  <c r="C11" i="2"/>
  <c r="C12" i="2"/>
  <c r="C13" i="2"/>
  <c r="C14" i="2"/>
  <c r="C15" i="2"/>
  <c r="C16" i="2"/>
  <c r="C5" i="2"/>
  <c r="D17" i="2" l="1"/>
  <c r="C17" i="2"/>
  <c r="G17" i="2"/>
  <c r="F17" i="2"/>
  <c r="E17" i="2"/>
</calcChain>
</file>

<file path=xl/sharedStrings.xml><?xml version="1.0" encoding="utf-8"?>
<sst xmlns="http://schemas.openxmlformats.org/spreadsheetml/2006/main" count="38" uniqueCount="24">
  <si>
    <t>Consumo de combustíveis</t>
  </si>
  <si>
    <t>Estado: São Paulo</t>
  </si>
  <si>
    <t>Combustivel: Gasolina A</t>
  </si>
  <si>
    <t>Unidade: Litros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</si>
  <si>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</si>
  <si>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</si>
  <si>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</si>
  <si>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</si>
  <si>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</si>
  <si>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</si>
  <si>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</si>
  <si>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</si>
  <si>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</si>
  <si>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</si>
  <si>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</si>
  <si>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</si>
  <si>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</si>
  <si>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</si>
  <si>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Elaborado pela União da Indústria da Cana-de-Açúcar (UNICA) a partir de dados publicados pela Agência Nacional do Petróleo, Gás Natural e Biocombustíveis (ANP) e pela Associação Brasileira das Empresas Distribuidoras de Gás Canalizado (ABEGAS)</t>
  </si>
  <si>
    <t>Fator de Conversão:</t>
  </si>
  <si>
    <t>Meses</t>
  </si>
  <si>
    <t>Consumo</t>
  </si>
  <si>
    <t>Previsão</t>
  </si>
  <si>
    <t>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</si>
</sst>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[$-416]mmmm\-yy;@"/>
  </numFmts>
  <fonts count="10" x14ac:knownFonts="1">
    <font>
      <sz val="11"/>
      <color rgb="FF000000"/>
      <name val="Calibri"/>
    </font>
    <font>
      <b/>
      <sz val="11"/>
      <color rgb="FF000000"/>
      <name val="Arial"/>
    </font>
    <font>
      <b/>
      <sz val="10"/>
      <color rgb="FF000000"/>
      <name val="Arial"/>
    </font>
    <font>
      <b/>
      <sz val="13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i/>
      <sz val="10"/>
      <color rgb="FF000000"/>
      <name val="Arial"/>
    </font>
    <font>
      <sz val="10"/>
      <color rgb="FFFF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FFFFFF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3" fillId="3" borderId="6" xfId="0" applyFont="1" applyFill="1" applyBorder="1" applyAlignment="1">
      <alignment horizontal="left" vertical="top" wrapText="1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4" fillId="3" borderId="0" xfId="0" applyFont="1" applyFill="1" applyAlignment="1">
      <alignment horizontal="left" vertical="center"/>
    </xf>
    <xf numFmtId="3" fontId="4" fillId="3" borderId="0" xfId="0" applyNumberFormat="1" applyFont="1" applyFill="1"/>
    <xf numFmtId="3" fontId="4" fillId="3" borderId="1" xfId="0" applyNumberFormat="1" applyFont="1" applyFill="1" applyBorder="1"/>
    <xf numFmtId="11" fontId="0" fillId="2" borderId="0" xfId="0" applyNumberFormat="1" applyFill="1"/>
    <xf numFmtId="164" fontId="4" fillId="3" borderId="0" xfId="0" applyNumberFormat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/>
    <xf numFmtId="165" fontId="4" fillId="3" borderId="0" xfId="0" applyNumberFormat="1" applyFont="1" applyFill="1" applyAlignment="1">
      <alignment horizontal="left" vertical="center"/>
    </xf>
    <xf numFmtId="0" fontId="2" fillId="2" borderId="8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top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Consumo</a:t>
            </a:r>
            <a:r>
              <a:rPr lang="pt-BR" b="1" baseline="0"/>
              <a:t> de Gasolina "A" no Estado de São Paulo</a:t>
            </a:r>
          </a:p>
          <a:p>
            <a:pPr>
              <a:defRPr/>
            </a:pPr>
            <a:r>
              <a:rPr lang="pt-BR" b="1" baseline="0"/>
              <a:t>(em milhões de litros)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Tratados'!$C$4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Tratados'!$C$5:$C$16</c:f>
              <c:numCache>
                <c:formatCode>#,##0.000000</c:formatCode>
                <c:ptCount val="12"/>
                <c:pt idx="0">
                  <c:v>549.36789499999998</c:v>
                </c:pt>
                <c:pt idx="1">
                  <c:v>596.90083200000004</c:v>
                </c:pt>
                <c:pt idx="2">
                  <c:v>655.66537400000004</c:v>
                </c:pt>
                <c:pt idx="3">
                  <c:v>626.82796499999995</c:v>
                </c:pt>
                <c:pt idx="4">
                  <c:v>565.65716699999996</c:v>
                </c:pt>
                <c:pt idx="5">
                  <c:v>557.53381100000001</c:v>
                </c:pt>
                <c:pt idx="6">
                  <c:v>551.98787100000004</c:v>
                </c:pt>
                <c:pt idx="7">
                  <c:v>578.82084499999996</c:v>
                </c:pt>
                <c:pt idx="8">
                  <c:v>571.96497299999999</c:v>
                </c:pt>
                <c:pt idx="9">
                  <c:v>622.61394299999995</c:v>
                </c:pt>
                <c:pt idx="10">
                  <c:v>666.94671800000003</c:v>
                </c:pt>
                <c:pt idx="11">
                  <c:v>748.78962100000001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6-4EE7-B75B-6EC87B1A94A4}"/>
            </c:ext>
          </c:extLst>
        </c:ser>
        <c:ser>
          <c:idx val="1"/>
          <c:order val="1"/>
          <c:tx>
            <c:strRef>
              <c:f>'Dados Tratados'!$D$4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Tratados'!$D$5:$D$16</c:f>
              <c:numCache>
                <c:formatCode>#,##0.000000</c:formatCode>
                <c:ptCount val="12"/>
                <c:pt idx="0">
                  <c:v>638.04405199999997</c:v>
                </c:pt>
                <c:pt idx="1">
                  <c:v>645.41156999999998</c:v>
                </c:pt>
                <c:pt idx="2">
                  <c:v>702.76633200000003</c:v>
                </c:pt>
                <c:pt idx="3">
                  <c:v>647.28460199999995</c:v>
                </c:pt>
                <c:pt idx="4">
                  <c:v>665.73978599999998</c:v>
                </c:pt>
                <c:pt idx="5">
                  <c:v>652.53903500000001</c:v>
                </c:pt>
                <c:pt idx="6">
                  <c:v>633.17575099999999</c:v>
                </c:pt>
                <c:pt idx="7">
                  <c:v>639.728567</c:v>
                </c:pt>
                <c:pt idx="8">
                  <c:v>598.641165</c:v>
                </c:pt>
                <c:pt idx="9">
                  <c:v>602.03706699999998</c:v>
                </c:pt>
                <c:pt idx="10">
                  <c:v>577.30734800000005</c:v>
                </c:pt>
                <c:pt idx="11">
                  <c:v>641.96745599999997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6-4EE7-B75B-6EC87B1A94A4}"/>
            </c:ext>
          </c:extLst>
        </c:ser>
        <c:ser>
          <c:idx val="2"/>
          <c:order val="2"/>
          <c:tx>
            <c:strRef>
              <c:f>'Dados Tratados'!$E$4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Tratados'!$E$5:$E$16</c:f>
              <c:numCache>
                <c:formatCode>#,##0.000000</c:formatCode>
                <c:ptCount val="12"/>
                <c:pt idx="0">
                  <c:v>546.34479499999998</c:v>
                </c:pt>
                <c:pt idx="1">
                  <c:v>531.53150300000004</c:v>
                </c:pt>
                <c:pt idx="2">
                  <c:v>616.296244</c:v>
                </c:pt>
                <c:pt idx="3">
                  <c:v>566.44141100000002</c:v>
                </c:pt>
                <c:pt idx="4">
                  <c:v>509.99240700000001</c:v>
                </c:pt>
                <c:pt idx="5">
                  <c:v>516.97622200000001</c:v>
                </c:pt>
                <c:pt idx="6">
                  <c:v>455.147785</c:v>
                </c:pt>
                <c:pt idx="7">
                  <c:v>501.34611899999999</c:v>
                </c:pt>
                <c:pt idx="8">
                  <c:v>452.781991</c:v>
                </c:pt>
                <c:pt idx="9">
                  <c:v>458.40509500000002</c:v>
                </c:pt>
                <c:pt idx="10">
                  <c:v>464.07225099999999</c:v>
                </c:pt>
                <c:pt idx="11">
                  <c:v>531.41965900000002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76-4EE7-B75B-6EC87B1A94A4}"/>
            </c:ext>
          </c:extLst>
        </c:ser>
        <c:ser>
          <c:idx val="3"/>
          <c:order val="3"/>
          <c:tx>
            <c:strRef>
              <c:f>'Dados Tratados'!$F$4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Tratados'!$F$5:$F$16</c:f>
              <c:numCache>
                <c:formatCode>#,##0.000000</c:formatCode>
                <c:ptCount val="12"/>
                <c:pt idx="0">
                  <c:v>464.95195999999999</c:v>
                </c:pt>
                <c:pt idx="1">
                  <c:v>451.496217</c:v>
                </c:pt>
                <c:pt idx="2">
                  <c:v>481.64072099999998</c:v>
                </c:pt>
                <c:pt idx="3">
                  <c:v>491.95601499999998</c:v>
                </c:pt>
                <c:pt idx="4">
                  <c:v>480.64165300000002</c:v>
                </c:pt>
                <c:pt idx="5">
                  <c:v>454.04042500000003</c:v>
                </c:pt>
                <c:pt idx="6">
                  <c:v>484.07904000000002</c:v>
                </c:pt>
                <c:pt idx="7">
                  <c:v>500.30515500000001</c:v>
                </c:pt>
                <c:pt idx="8">
                  <c:v>470.85432500000002</c:v>
                </c:pt>
                <c:pt idx="9">
                  <c:v>506.36139600000001</c:v>
                </c:pt>
                <c:pt idx="10">
                  <c:v>484.22742499999998</c:v>
                </c:pt>
                <c:pt idx="11">
                  <c:v>531.26019499999995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76-4EE7-B75B-6EC87B1A94A4}"/>
            </c:ext>
          </c:extLst>
        </c:ser>
        <c:ser>
          <c:idx val="4"/>
          <c:order val="4"/>
          <c:tx>
            <c:strRef>
              <c:f>'Dados Tratados'!$G$4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'Dados Tratados'!$B$5:$B$13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xVal>
          <c:yVal>
            <c:numRef>
              <c:f>'Dados Tratados'!$G$5:$G$13</c:f>
              <c:numCache>
                <c:formatCode>#,##0.000000</c:formatCode>
                <c:ptCount val="9"/>
                <c:pt idx="0">
                  <c:v>458.33323000000001</c:v>
                </c:pt>
                <c:pt idx="1">
                  <c:v>457.73739699999999</c:v>
                </c:pt>
                <c:pt idx="2">
                  <c:v>397.35163</c:v>
                </c:pt>
                <c:pt idx="3">
                  <c:v>318.79105800000002</c:v>
                </c:pt>
                <c:pt idx="4">
                  <c:v>353.04286100000002</c:v>
                </c:pt>
                <c:pt idx="5">
                  <c:v>391.80022000000002</c:v>
                </c:pt>
                <c:pt idx="6">
                  <c:v>443.29310199999998</c:v>
                </c:pt>
                <c:pt idx="7">
                  <c:v>432.23884399999997</c:v>
                </c:pt>
                <c:pt idx="8">
                  <c:v>461.95340299999998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76-4EE7-B75B-6EC87B1A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08984"/>
        <c:axId val="452612264"/>
      </c:scatterChart>
      <c:valAx>
        <c:axId val="452608984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12264"/>
        <c:crosses val="autoZero"/>
        <c:crossBetween val="midCat"/>
        <c:majorUnit val="1"/>
      </c:valAx>
      <c:valAx>
        <c:axId val="45261226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08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Consumo</a:t>
            </a:r>
            <a:r>
              <a:rPr lang="pt-BR" b="1" baseline="0"/>
              <a:t> de Gasolina "A" no Estado de São Paulo</a:t>
            </a:r>
          </a:p>
          <a:p>
            <a:pPr>
              <a:defRPr/>
            </a:pPr>
            <a:r>
              <a:rPr lang="pt-BR" b="1" baseline="0"/>
              <a:t>(em milhões de litros)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'Dados Tratados'!$D$4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Tratados'!$D$5:$D$16</c:f>
              <c:numCache>
                <c:formatCode>#,##0.000000</c:formatCode>
                <c:ptCount val="12"/>
                <c:pt idx="0">
                  <c:v>638.04405199999997</c:v>
                </c:pt>
                <c:pt idx="1">
                  <c:v>645.41156999999998</c:v>
                </c:pt>
                <c:pt idx="2">
                  <c:v>702.76633200000003</c:v>
                </c:pt>
                <c:pt idx="3">
                  <c:v>647.28460199999995</c:v>
                </c:pt>
                <c:pt idx="4">
                  <c:v>665.73978599999998</c:v>
                </c:pt>
                <c:pt idx="5">
                  <c:v>652.53903500000001</c:v>
                </c:pt>
                <c:pt idx="6">
                  <c:v>633.17575099999999</c:v>
                </c:pt>
                <c:pt idx="7">
                  <c:v>639.728567</c:v>
                </c:pt>
                <c:pt idx="8">
                  <c:v>598.641165</c:v>
                </c:pt>
                <c:pt idx="9">
                  <c:v>602.03706699999998</c:v>
                </c:pt>
                <c:pt idx="10">
                  <c:v>577.30734800000005</c:v>
                </c:pt>
                <c:pt idx="11">
                  <c:v>641.96745599999997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D6-47E1-94FA-9ED284E80004}"/>
            </c:ext>
          </c:extLst>
        </c:ser>
        <c:ser>
          <c:idx val="0"/>
          <c:order val="0"/>
          <c:tx>
            <c:strRef>
              <c:f>'Dados Tratados'!$C$4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Tratados'!$C$5:$C$16</c:f>
              <c:numCache>
                <c:formatCode>#,##0.000000</c:formatCode>
                <c:ptCount val="12"/>
                <c:pt idx="0">
                  <c:v>549.36789499999998</c:v>
                </c:pt>
                <c:pt idx="1">
                  <c:v>596.90083200000004</c:v>
                </c:pt>
                <c:pt idx="2">
                  <c:v>655.66537400000004</c:v>
                </c:pt>
                <c:pt idx="3">
                  <c:v>626.82796499999995</c:v>
                </c:pt>
                <c:pt idx="4">
                  <c:v>565.65716699999996</c:v>
                </c:pt>
                <c:pt idx="5">
                  <c:v>557.53381100000001</c:v>
                </c:pt>
                <c:pt idx="6">
                  <c:v>551.98787100000004</c:v>
                </c:pt>
                <c:pt idx="7">
                  <c:v>578.82084499999996</c:v>
                </c:pt>
                <c:pt idx="8">
                  <c:v>571.96497299999999</c:v>
                </c:pt>
                <c:pt idx="9">
                  <c:v>622.61394299999995</c:v>
                </c:pt>
                <c:pt idx="10">
                  <c:v>666.94671800000003</c:v>
                </c:pt>
                <c:pt idx="11">
                  <c:v>748.78962100000001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D6-47E1-94FA-9ED284E80004}"/>
            </c:ext>
          </c:extLst>
        </c:ser>
        <c:ser>
          <c:idx val="2"/>
          <c:order val="2"/>
          <c:tx>
            <c:strRef>
              <c:f>'Dados Tratados'!$E$4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Tratados'!$E$5:$E$16</c:f>
              <c:numCache>
                <c:formatCode>#,##0.000000</c:formatCode>
                <c:ptCount val="12"/>
                <c:pt idx="0">
                  <c:v>546.34479499999998</c:v>
                </c:pt>
                <c:pt idx="1">
                  <c:v>531.53150300000004</c:v>
                </c:pt>
                <c:pt idx="2">
                  <c:v>616.296244</c:v>
                </c:pt>
                <c:pt idx="3">
                  <c:v>566.44141100000002</c:v>
                </c:pt>
                <c:pt idx="4">
                  <c:v>509.99240700000001</c:v>
                </c:pt>
                <c:pt idx="5">
                  <c:v>516.97622200000001</c:v>
                </c:pt>
                <c:pt idx="6">
                  <c:v>455.147785</c:v>
                </c:pt>
                <c:pt idx="7">
                  <c:v>501.34611899999999</c:v>
                </c:pt>
                <c:pt idx="8">
                  <c:v>452.781991</c:v>
                </c:pt>
                <c:pt idx="9">
                  <c:v>458.40509500000002</c:v>
                </c:pt>
                <c:pt idx="10">
                  <c:v>464.07225099999999</c:v>
                </c:pt>
                <c:pt idx="11">
                  <c:v>531.41965900000002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D6-47E1-94FA-9ED284E80004}"/>
            </c:ext>
          </c:extLst>
        </c:ser>
        <c:ser>
          <c:idx val="3"/>
          <c:order val="3"/>
          <c:tx>
            <c:strRef>
              <c:f>'Dados Tratados'!$F$4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Tratados'!$F$5:$F$16</c:f>
              <c:numCache>
                <c:formatCode>#,##0.000000</c:formatCode>
                <c:ptCount val="12"/>
                <c:pt idx="0">
                  <c:v>464.95195999999999</c:v>
                </c:pt>
                <c:pt idx="1">
                  <c:v>451.496217</c:v>
                </c:pt>
                <c:pt idx="2">
                  <c:v>481.64072099999998</c:v>
                </c:pt>
                <c:pt idx="3">
                  <c:v>491.95601499999998</c:v>
                </c:pt>
                <c:pt idx="4">
                  <c:v>480.64165300000002</c:v>
                </c:pt>
                <c:pt idx="5">
                  <c:v>454.04042500000003</c:v>
                </c:pt>
                <c:pt idx="6">
                  <c:v>484.07904000000002</c:v>
                </c:pt>
                <c:pt idx="7">
                  <c:v>500.30515500000001</c:v>
                </c:pt>
                <c:pt idx="8">
                  <c:v>470.85432500000002</c:v>
                </c:pt>
                <c:pt idx="9">
                  <c:v>506.36139600000001</c:v>
                </c:pt>
                <c:pt idx="10">
                  <c:v>484.22742499999998</c:v>
                </c:pt>
                <c:pt idx="11">
                  <c:v>531.26019499999995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D6-47E1-94FA-9ED284E80004}"/>
            </c:ext>
          </c:extLst>
        </c:ser>
        <c:ser>
          <c:idx val="4"/>
          <c:order val="4"/>
          <c:tx>
            <c:strRef>
              <c:f>'Dados Tratados'!$G$4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20028281228160089"/>
                  <c:y val="0.14396500437445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strRef>
              <c:f>'Dados Tratados'!$B$5:$B$13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xVal>
          <c:yVal>
            <c:numRef>
              <c:f>'Dados Tratados'!$G$5:$G$13</c:f>
              <c:numCache>
                <c:formatCode>#,##0.000000</c:formatCode>
                <c:ptCount val="9"/>
                <c:pt idx="0">
                  <c:v>458.33323000000001</c:v>
                </c:pt>
                <c:pt idx="1">
                  <c:v>457.73739699999999</c:v>
                </c:pt>
                <c:pt idx="2">
                  <c:v>397.35163</c:v>
                </c:pt>
                <c:pt idx="3">
                  <c:v>318.79105800000002</c:v>
                </c:pt>
                <c:pt idx="4">
                  <c:v>353.04286100000002</c:v>
                </c:pt>
                <c:pt idx="5">
                  <c:v>391.80022000000002</c:v>
                </c:pt>
                <c:pt idx="6">
                  <c:v>443.29310199999998</c:v>
                </c:pt>
                <c:pt idx="7">
                  <c:v>432.23884399999997</c:v>
                </c:pt>
                <c:pt idx="8">
                  <c:v>461.95340299999998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D6-47E1-94FA-9ED284E80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08984"/>
        <c:axId val="452612264"/>
      </c:scatterChart>
      <c:valAx>
        <c:axId val="452608984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12264"/>
        <c:crosses val="autoZero"/>
        <c:crossBetween val="midCat"/>
        <c:majorUnit val="1"/>
      </c:valAx>
      <c:valAx>
        <c:axId val="45261226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08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Consumo</a:t>
            </a:r>
            <a:r>
              <a:rPr lang="pt-BR" b="1" baseline="0"/>
              <a:t> de Gasolina "A" no Estado de São Paulo</a:t>
            </a:r>
          </a:p>
          <a:p>
            <a:pPr>
              <a:defRPr/>
            </a:pPr>
            <a:r>
              <a:rPr lang="pt-BR" b="1" baseline="0"/>
              <a:t>(em milhões de litros)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'Dados Tratados'!$D$4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Tratados'!$D$5:$D$16</c:f>
              <c:numCache>
                <c:formatCode>#,##0.000000</c:formatCode>
                <c:ptCount val="12"/>
                <c:pt idx="0">
                  <c:v>638.04405199999997</c:v>
                </c:pt>
                <c:pt idx="1">
                  <c:v>645.41156999999998</c:v>
                </c:pt>
                <c:pt idx="2">
                  <c:v>702.76633200000003</c:v>
                </c:pt>
                <c:pt idx="3">
                  <c:v>647.28460199999995</c:v>
                </c:pt>
                <c:pt idx="4">
                  <c:v>665.73978599999998</c:v>
                </c:pt>
                <c:pt idx="5">
                  <c:v>652.53903500000001</c:v>
                </c:pt>
                <c:pt idx="6">
                  <c:v>633.17575099999999</c:v>
                </c:pt>
                <c:pt idx="7">
                  <c:v>639.728567</c:v>
                </c:pt>
                <c:pt idx="8">
                  <c:v>598.641165</c:v>
                </c:pt>
                <c:pt idx="9">
                  <c:v>602.03706699999998</c:v>
                </c:pt>
                <c:pt idx="10">
                  <c:v>577.30734800000005</c:v>
                </c:pt>
                <c:pt idx="11">
                  <c:v>641.96745599999997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B-4C3C-84FB-10AF48EF2F89}"/>
            </c:ext>
          </c:extLst>
        </c:ser>
        <c:ser>
          <c:idx val="0"/>
          <c:order val="0"/>
          <c:tx>
            <c:strRef>
              <c:f>'Dados Tratados'!$C$4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Tratados'!$C$5:$C$16</c:f>
              <c:numCache>
                <c:formatCode>#,##0.000000</c:formatCode>
                <c:ptCount val="12"/>
                <c:pt idx="0">
                  <c:v>549.36789499999998</c:v>
                </c:pt>
                <c:pt idx="1">
                  <c:v>596.90083200000004</c:v>
                </c:pt>
                <c:pt idx="2">
                  <c:v>655.66537400000004</c:v>
                </c:pt>
                <c:pt idx="3">
                  <c:v>626.82796499999995</c:v>
                </c:pt>
                <c:pt idx="4">
                  <c:v>565.65716699999996</c:v>
                </c:pt>
                <c:pt idx="5">
                  <c:v>557.53381100000001</c:v>
                </c:pt>
                <c:pt idx="6">
                  <c:v>551.98787100000004</c:v>
                </c:pt>
                <c:pt idx="7">
                  <c:v>578.82084499999996</c:v>
                </c:pt>
                <c:pt idx="8">
                  <c:v>571.96497299999999</c:v>
                </c:pt>
                <c:pt idx="9">
                  <c:v>622.61394299999995</c:v>
                </c:pt>
                <c:pt idx="10">
                  <c:v>666.94671800000003</c:v>
                </c:pt>
                <c:pt idx="11">
                  <c:v>748.78962100000001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2B-4C3C-84FB-10AF48EF2F89}"/>
            </c:ext>
          </c:extLst>
        </c:ser>
        <c:ser>
          <c:idx val="2"/>
          <c:order val="2"/>
          <c:tx>
            <c:strRef>
              <c:f>'Dados Tratados'!$E$4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Tratados'!$E$5:$E$16</c:f>
              <c:numCache>
                <c:formatCode>#,##0.000000</c:formatCode>
                <c:ptCount val="12"/>
                <c:pt idx="0">
                  <c:v>546.34479499999998</c:v>
                </c:pt>
                <c:pt idx="1">
                  <c:v>531.53150300000004</c:v>
                </c:pt>
                <c:pt idx="2">
                  <c:v>616.296244</c:v>
                </c:pt>
                <c:pt idx="3">
                  <c:v>566.44141100000002</c:v>
                </c:pt>
                <c:pt idx="4">
                  <c:v>509.99240700000001</c:v>
                </c:pt>
                <c:pt idx="5">
                  <c:v>516.97622200000001</c:v>
                </c:pt>
                <c:pt idx="6">
                  <c:v>455.147785</c:v>
                </c:pt>
                <c:pt idx="7">
                  <c:v>501.34611899999999</c:v>
                </c:pt>
                <c:pt idx="8">
                  <c:v>452.781991</c:v>
                </c:pt>
                <c:pt idx="9">
                  <c:v>458.40509500000002</c:v>
                </c:pt>
                <c:pt idx="10">
                  <c:v>464.07225099999999</c:v>
                </c:pt>
                <c:pt idx="11">
                  <c:v>531.41965900000002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2B-4C3C-84FB-10AF48EF2F89}"/>
            </c:ext>
          </c:extLst>
        </c:ser>
        <c:ser>
          <c:idx val="3"/>
          <c:order val="3"/>
          <c:tx>
            <c:strRef>
              <c:f>'Dados Tratados'!$F$4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Tratados'!$F$5:$F$16</c:f>
              <c:numCache>
                <c:formatCode>#,##0.000000</c:formatCode>
                <c:ptCount val="12"/>
                <c:pt idx="0">
                  <c:v>464.95195999999999</c:v>
                </c:pt>
                <c:pt idx="1">
                  <c:v>451.496217</c:v>
                </c:pt>
                <c:pt idx="2">
                  <c:v>481.64072099999998</c:v>
                </c:pt>
                <c:pt idx="3">
                  <c:v>491.95601499999998</c:v>
                </c:pt>
                <c:pt idx="4">
                  <c:v>480.64165300000002</c:v>
                </c:pt>
                <c:pt idx="5">
                  <c:v>454.04042500000003</c:v>
                </c:pt>
                <c:pt idx="6">
                  <c:v>484.07904000000002</c:v>
                </c:pt>
                <c:pt idx="7">
                  <c:v>500.30515500000001</c:v>
                </c:pt>
                <c:pt idx="8">
                  <c:v>470.85432500000002</c:v>
                </c:pt>
                <c:pt idx="9">
                  <c:v>506.36139600000001</c:v>
                </c:pt>
                <c:pt idx="10">
                  <c:v>484.22742499999998</c:v>
                </c:pt>
                <c:pt idx="11">
                  <c:v>531.26019499999995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2B-4C3C-84FB-10AF48EF2F89}"/>
            </c:ext>
          </c:extLst>
        </c:ser>
        <c:ser>
          <c:idx val="4"/>
          <c:order val="4"/>
          <c:tx>
            <c:strRef>
              <c:f>'Dados Tratados'!$G$4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'Dados Tratados'!$B$5:$B$13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xVal>
          <c:yVal>
            <c:numRef>
              <c:f>'Dados Tratados'!$G$5:$G$13</c:f>
              <c:numCache>
                <c:formatCode>#,##0.000000</c:formatCode>
                <c:ptCount val="9"/>
                <c:pt idx="0">
                  <c:v>458.33323000000001</c:v>
                </c:pt>
                <c:pt idx="1">
                  <c:v>457.73739699999999</c:v>
                </c:pt>
                <c:pt idx="2">
                  <c:v>397.35163</c:v>
                </c:pt>
                <c:pt idx="3">
                  <c:v>318.79105800000002</c:v>
                </c:pt>
                <c:pt idx="4">
                  <c:v>353.04286100000002</c:v>
                </c:pt>
                <c:pt idx="5">
                  <c:v>391.80022000000002</c:v>
                </c:pt>
                <c:pt idx="6">
                  <c:v>443.29310199999998</c:v>
                </c:pt>
                <c:pt idx="7">
                  <c:v>432.23884399999997</c:v>
                </c:pt>
                <c:pt idx="8">
                  <c:v>461.95340299999998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2B-4C3C-84FB-10AF48EF2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08984"/>
        <c:axId val="452612264"/>
      </c:scatterChart>
      <c:valAx>
        <c:axId val="452608984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12264"/>
        <c:crosses val="autoZero"/>
        <c:crossBetween val="midCat"/>
        <c:majorUnit val="1"/>
      </c:valAx>
      <c:valAx>
        <c:axId val="45261226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08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Consumo</a:t>
            </a:r>
            <a:r>
              <a:rPr lang="pt-BR" b="1" baseline="0"/>
              <a:t> de Gasolina "A" no Estado de São Paulo</a:t>
            </a:r>
          </a:p>
          <a:p>
            <a:pPr>
              <a:defRPr/>
            </a:pPr>
            <a:r>
              <a:rPr lang="pt-BR" b="1" baseline="0"/>
              <a:t>(em milhões de litros)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Tratados'!$C$4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Tratados'!$C$5:$C$16</c:f>
              <c:numCache>
                <c:formatCode>#,##0.000000</c:formatCode>
                <c:ptCount val="12"/>
                <c:pt idx="0">
                  <c:v>549.36789499999998</c:v>
                </c:pt>
                <c:pt idx="1">
                  <c:v>596.90083200000004</c:v>
                </c:pt>
                <c:pt idx="2">
                  <c:v>655.66537400000004</c:v>
                </c:pt>
                <c:pt idx="3">
                  <c:v>626.82796499999995</c:v>
                </c:pt>
                <c:pt idx="4">
                  <c:v>565.65716699999996</c:v>
                </c:pt>
                <c:pt idx="5">
                  <c:v>557.53381100000001</c:v>
                </c:pt>
                <c:pt idx="6">
                  <c:v>551.98787100000004</c:v>
                </c:pt>
                <c:pt idx="7">
                  <c:v>578.82084499999996</c:v>
                </c:pt>
                <c:pt idx="8">
                  <c:v>571.96497299999999</c:v>
                </c:pt>
                <c:pt idx="9">
                  <c:v>622.61394299999995</c:v>
                </c:pt>
                <c:pt idx="10">
                  <c:v>666.94671800000003</c:v>
                </c:pt>
                <c:pt idx="11">
                  <c:v>748.78962100000001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2C-4753-9E16-795A0434CF56}"/>
            </c:ext>
          </c:extLst>
        </c:ser>
        <c:ser>
          <c:idx val="1"/>
          <c:order val="1"/>
          <c:tx>
            <c:strRef>
              <c:f>'Dados Tratados'!$D$4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Tratados'!$D$5:$D$16</c:f>
              <c:numCache>
                <c:formatCode>#,##0.000000</c:formatCode>
                <c:ptCount val="12"/>
                <c:pt idx="0">
                  <c:v>638.04405199999997</c:v>
                </c:pt>
                <c:pt idx="1">
                  <c:v>645.41156999999998</c:v>
                </c:pt>
                <c:pt idx="2">
                  <c:v>702.76633200000003</c:v>
                </c:pt>
                <c:pt idx="3">
                  <c:v>647.28460199999995</c:v>
                </c:pt>
                <c:pt idx="4">
                  <c:v>665.73978599999998</c:v>
                </c:pt>
                <c:pt idx="5">
                  <c:v>652.53903500000001</c:v>
                </c:pt>
                <c:pt idx="6">
                  <c:v>633.17575099999999</c:v>
                </c:pt>
                <c:pt idx="7">
                  <c:v>639.728567</c:v>
                </c:pt>
                <c:pt idx="8">
                  <c:v>598.641165</c:v>
                </c:pt>
                <c:pt idx="9">
                  <c:v>602.03706699999998</c:v>
                </c:pt>
                <c:pt idx="10">
                  <c:v>577.30734800000005</c:v>
                </c:pt>
                <c:pt idx="11">
                  <c:v>641.96745599999997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2C-4753-9E16-795A0434CF56}"/>
            </c:ext>
          </c:extLst>
        </c:ser>
        <c:ser>
          <c:idx val="2"/>
          <c:order val="2"/>
          <c:tx>
            <c:strRef>
              <c:f>'Dados Tratados'!$E$4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Tratados'!$E$5:$E$16</c:f>
              <c:numCache>
                <c:formatCode>#,##0.000000</c:formatCode>
                <c:ptCount val="12"/>
                <c:pt idx="0">
                  <c:v>546.34479499999998</c:v>
                </c:pt>
                <c:pt idx="1">
                  <c:v>531.53150300000004</c:v>
                </c:pt>
                <c:pt idx="2">
                  <c:v>616.296244</c:v>
                </c:pt>
                <c:pt idx="3">
                  <c:v>566.44141100000002</c:v>
                </c:pt>
                <c:pt idx="4">
                  <c:v>509.99240700000001</c:v>
                </c:pt>
                <c:pt idx="5">
                  <c:v>516.97622200000001</c:v>
                </c:pt>
                <c:pt idx="6">
                  <c:v>455.147785</c:v>
                </c:pt>
                <c:pt idx="7">
                  <c:v>501.34611899999999</c:v>
                </c:pt>
                <c:pt idx="8">
                  <c:v>452.781991</c:v>
                </c:pt>
                <c:pt idx="9">
                  <c:v>458.40509500000002</c:v>
                </c:pt>
                <c:pt idx="10">
                  <c:v>464.07225099999999</c:v>
                </c:pt>
                <c:pt idx="11">
                  <c:v>531.41965900000002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2C-4753-9E16-795A0434CF56}"/>
            </c:ext>
          </c:extLst>
        </c:ser>
        <c:ser>
          <c:idx val="3"/>
          <c:order val="3"/>
          <c:tx>
            <c:strRef>
              <c:f>'Dados Tratados'!$F$4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'Dados Tratados'!$B$5:$B$16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xVal>
          <c:yVal>
            <c:numRef>
              <c:f>'Dados Tratados'!$F$5:$F$16</c:f>
              <c:numCache>
                <c:formatCode>#,##0.000000</c:formatCode>
                <c:ptCount val="12"/>
                <c:pt idx="0">
                  <c:v>464.95195999999999</c:v>
                </c:pt>
                <c:pt idx="1">
                  <c:v>451.496217</c:v>
                </c:pt>
                <c:pt idx="2">
                  <c:v>481.64072099999998</c:v>
                </c:pt>
                <c:pt idx="3">
                  <c:v>491.95601499999998</c:v>
                </c:pt>
                <c:pt idx="4">
                  <c:v>480.64165300000002</c:v>
                </c:pt>
                <c:pt idx="5">
                  <c:v>454.04042500000003</c:v>
                </c:pt>
                <c:pt idx="6">
                  <c:v>484.07904000000002</c:v>
                </c:pt>
                <c:pt idx="7">
                  <c:v>500.30515500000001</c:v>
                </c:pt>
                <c:pt idx="8">
                  <c:v>470.85432500000002</c:v>
                </c:pt>
                <c:pt idx="9">
                  <c:v>506.36139600000001</c:v>
                </c:pt>
                <c:pt idx="10">
                  <c:v>484.22742499999998</c:v>
                </c:pt>
                <c:pt idx="11">
                  <c:v>531.26019499999995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2C-4753-9E16-795A0434CF56}"/>
            </c:ext>
          </c:extLst>
        </c:ser>
        <c:ser>
          <c:idx val="4"/>
          <c:order val="4"/>
          <c:tx>
            <c:strRef>
              <c:f>'Dados Tratados'!$G$4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'Dados Tratados'!$B$5:$B$13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xVal>
          <c:yVal>
            <c:numRef>
              <c:f>'Dados Tratados'!$G$5:$G$13</c:f>
              <c:numCache>
                <c:formatCode>#,##0.000000</c:formatCode>
                <c:ptCount val="9"/>
                <c:pt idx="0">
                  <c:v>458.33323000000001</c:v>
                </c:pt>
                <c:pt idx="1">
                  <c:v>457.73739699999999</c:v>
                </c:pt>
                <c:pt idx="2">
                  <c:v>397.35163</c:v>
                </c:pt>
                <c:pt idx="3">
                  <c:v>318.79105800000002</c:v>
                </c:pt>
                <c:pt idx="4">
                  <c:v>353.04286100000002</c:v>
                </c:pt>
                <c:pt idx="5">
                  <c:v>391.80022000000002</c:v>
                </c:pt>
                <c:pt idx="6">
                  <c:v>443.29310199999998</c:v>
                </c:pt>
                <c:pt idx="7">
                  <c:v>432.23884399999997</c:v>
                </c:pt>
                <c:pt idx="8">
                  <c:v>461.95340299999998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2C-4753-9E16-795A0434C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08984"/>
        <c:axId val="452612264"/>
      </c:scatterChart>
      <c:valAx>
        <c:axId val="452608984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12264"/>
        <c:crosses val="autoZero"/>
        <c:crossBetween val="midCat"/>
        <c:majorUnit val="1"/>
      </c:valAx>
      <c:valAx>
        <c:axId val="45261226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608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</xdr:row>
      <xdr:rowOff>123825</xdr:rowOff>
    </xdr:from>
    <xdr:ext cx="7562850" cy="6000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342900"/>
          <a:ext cx="7562850" cy="600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1</xdr:row>
      <xdr:rowOff>38100</xdr:rowOff>
    </xdr:from>
    <xdr:to>
      <xdr:col>19</xdr:col>
      <xdr:colOff>447675</xdr:colOff>
      <xdr:row>22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9</xdr:col>
      <xdr:colOff>133350</xdr:colOff>
      <xdr:row>47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9</xdr:col>
      <xdr:colOff>133350</xdr:colOff>
      <xdr:row>70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49</xdr:row>
      <xdr:rowOff>0</xdr:rowOff>
    </xdr:from>
    <xdr:to>
      <xdr:col>20</xdr:col>
      <xdr:colOff>342900</xdr:colOff>
      <xdr:row>70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635167DD-AD08-4464-B7F0-302D1DC00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zoomScale="90" zoomScaleNormal="90" workbookViewId="0">
      <selection activeCell="C29" sqref="C29:I32"/>
    </sheetView>
  </sheetViews>
  <sheetFormatPr defaultRowHeight="15" x14ac:dyDescent="0.25"/>
  <cols>
    <col min="1" max="1" width="1.7109375" style="1" customWidth="1"/>
    <col min="2" max="2" width="1.85546875" style="1" customWidth="1"/>
    <col min="3" max="3" width="9.140625" style="1" customWidth="1"/>
    <col min="4" max="4" width="18.5703125" style="1" customWidth="1"/>
    <col min="5" max="9" width="14.28515625" style="1" customWidth="1"/>
    <col min="10" max="11" width="9.140625" style="1" customWidth="1"/>
    <col min="12" max="12" width="2" style="1" customWidth="1"/>
    <col min="13" max="13" width="9.140625" style="1" customWidth="1"/>
  </cols>
  <sheetData>
    <row r="1" spans="2:12" ht="6.75" customHeight="1" x14ac:dyDescent="0.25"/>
    <row r="2" spans="2:12" ht="10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7"/>
    </row>
    <row r="3" spans="2:12" x14ac:dyDescent="0.25">
      <c r="B3" s="8"/>
      <c r="L3" s="9"/>
    </row>
    <row r="4" spans="2:12" x14ac:dyDescent="0.25">
      <c r="B4" s="8"/>
      <c r="L4" s="9"/>
    </row>
    <row r="5" spans="2:12" x14ac:dyDescent="0.25">
      <c r="B5" s="8"/>
      <c r="L5" s="9"/>
    </row>
    <row r="6" spans="2:12" x14ac:dyDescent="0.25">
      <c r="B6" s="8"/>
      <c r="L6" s="9"/>
    </row>
    <row r="7" spans="2:12" ht="16.5" customHeight="1" x14ac:dyDescent="0.25">
      <c r="B7" s="8"/>
      <c r="C7" s="27" t="s">
        <v>0</v>
      </c>
      <c r="D7" s="27"/>
      <c r="E7" s="27"/>
      <c r="F7" s="27"/>
      <c r="G7" s="27"/>
      <c r="H7" s="27"/>
      <c r="I7" s="27"/>
      <c r="J7" s="27"/>
      <c r="K7" s="27"/>
      <c r="L7" s="10"/>
    </row>
    <row r="8" spans="2:12" ht="15" customHeight="1" x14ac:dyDescent="0.25">
      <c r="B8" s="8"/>
      <c r="C8" s="27"/>
      <c r="D8" s="27"/>
      <c r="E8" s="27"/>
      <c r="F8" s="27"/>
      <c r="G8" s="27"/>
      <c r="H8" s="27"/>
      <c r="I8" s="27"/>
      <c r="J8" s="27"/>
      <c r="K8" s="27"/>
      <c r="L8" s="10"/>
    </row>
    <row r="9" spans="2:12" x14ac:dyDescent="0.25">
      <c r="B9" s="8"/>
      <c r="C9" s="29" t="s">
        <v>1</v>
      </c>
      <c r="D9" s="29"/>
      <c r="E9" s="29"/>
      <c r="F9" s="29"/>
      <c r="G9" s="29"/>
      <c r="H9" s="29"/>
      <c r="I9" s="29"/>
      <c r="J9" s="29"/>
      <c r="L9" s="9"/>
    </row>
    <row r="10" spans="2:12" x14ac:dyDescent="0.25">
      <c r="B10" s="8"/>
      <c r="C10" s="28" t="s">
        <v>2</v>
      </c>
      <c r="D10" s="28"/>
      <c r="L10" s="9"/>
    </row>
    <row r="11" spans="2:12" x14ac:dyDescent="0.25">
      <c r="B11" s="8"/>
      <c r="C11" s="28" t="s">
        <v>3</v>
      </c>
      <c r="D11" s="28"/>
      <c r="L11" s="9"/>
    </row>
    <row r="12" spans="2:12" x14ac:dyDescent="0.25">
      <c r="B12" s="8"/>
      <c r="D12" s="25"/>
      <c r="E12" s="25"/>
      <c r="F12" s="25"/>
      <c r="G12" s="25"/>
      <c r="H12" s="25"/>
      <c r="I12" s="25"/>
      <c r="L12" s="9"/>
    </row>
    <row r="13" spans="2:12" x14ac:dyDescent="0.25">
      <c r="B13" s="8"/>
      <c r="D13" s="2" t="s">
        <v>4</v>
      </c>
      <c r="E13" s="3">
        <v>2016</v>
      </c>
      <c r="F13" s="3">
        <v>2017</v>
      </c>
      <c r="G13" s="3">
        <v>2018</v>
      </c>
      <c r="H13" s="3">
        <v>2019</v>
      </c>
      <c r="I13" s="3">
        <v>2020</v>
      </c>
      <c r="L13" s="9"/>
    </row>
    <row r="14" spans="2:12" x14ac:dyDescent="0.25">
      <c r="B14" s="8"/>
      <c r="D14" s="14" t="s">
        <v>5</v>
      </c>
      <c r="E14" s="15">
        <v>549367895</v>
      </c>
      <c r="F14" s="15">
        <v>638044052</v>
      </c>
      <c r="G14" s="15">
        <v>546344795</v>
      </c>
      <c r="H14" s="15">
        <v>464951960</v>
      </c>
      <c r="I14" s="15">
        <v>458333230</v>
      </c>
      <c r="L14" s="9"/>
    </row>
    <row r="15" spans="2:12" x14ac:dyDescent="0.25">
      <c r="B15" s="8"/>
      <c r="D15" s="14" t="s">
        <v>6</v>
      </c>
      <c r="E15" s="15">
        <v>596900832</v>
      </c>
      <c r="F15" s="15">
        <v>645411570</v>
      </c>
      <c r="G15" s="15">
        <v>531531503</v>
      </c>
      <c r="H15" s="15">
        <v>451496217</v>
      </c>
      <c r="I15" s="15">
        <v>457737397</v>
      </c>
      <c r="L15" s="9"/>
    </row>
    <row r="16" spans="2:12" x14ac:dyDescent="0.25">
      <c r="B16" s="8"/>
      <c r="D16" s="14" t="s">
        <v>7</v>
      </c>
      <c r="E16" s="15">
        <v>655665374</v>
      </c>
      <c r="F16" s="15">
        <v>702766332</v>
      </c>
      <c r="G16" s="15">
        <v>616296244</v>
      </c>
      <c r="H16" s="15">
        <v>481640721</v>
      </c>
      <c r="I16" s="15">
        <v>397351630</v>
      </c>
      <c r="L16" s="9"/>
    </row>
    <row r="17" spans="2:12" x14ac:dyDescent="0.25">
      <c r="B17" s="8"/>
      <c r="D17" s="14" t="s">
        <v>8</v>
      </c>
      <c r="E17" s="15">
        <v>626827965</v>
      </c>
      <c r="F17" s="15">
        <v>647284602</v>
      </c>
      <c r="G17" s="15">
        <v>566441411</v>
      </c>
      <c r="H17" s="15">
        <v>491956015</v>
      </c>
      <c r="I17" s="15">
        <v>318791058</v>
      </c>
      <c r="L17" s="9"/>
    </row>
    <row r="18" spans="2:12" x14ac:dyDescent="0.25">
      <c r="B18" s="8"/>
      <c r="D18" s="14" t="s">
        <v>9</v>
      </c>
      <c r="E18" s="15">
        <v>565657167</v>
      </c>
      <c r="F18" s="15">
        <v>665739786</v>
      </c>
      <c r="G18" s="15">
        <v>509992407</v>
      </c>
      <c r="H18" s="15">
        <v>480641653</v>
      </c>
      <c r="I18" s="15">
        <v>353042861</v>
      </c>
      <c r="L18" s="9"/>
    </row>
    <row r="19" spans="2:12" x14ac:dyDescent="0.25">
      <c r="B19" s="8"/>
      <c r="D19" s="14" t="s">
        <v>10</v>
      </c>
      <c r="E19" s="15">
        <v>557533811</v>
      </c>
      <c r="F19" s="15">
        <v>652539035</v>
      </c>
      <c r="G19" s="15">
        <v>516976222</v>
      </c>
      <c r="H19" s="15">
        <v>454040425</v>
      </c>
      <c r="I19" s="15">
        <v>391800220</v>
      </c>
      <c r="L19" s="9"/>
    </row>
    <row r="20" spans="2:12" x14ac:dyDescent="0.25">
      <c r="B20" s="8"/>
      <c r="D20" s="14" t="s">
        <v>11</v>
      </c>
      <c r="E20" s="15">
        <v>551987871</v>
      </c>
      <c r="F20" s="15">
        <v>633175751</v>
      </c>
      <c r="G20" s="15">
        <v>455147785</v>
      </c>
      <c r="H20" s="15">
        <v>484079040</v>
      </c>
      <c r="I20" s="15">
        <v>443293102</v>
      </c>
      <c r="L20" s="9"/>
    </row>
    <row r="21" spans="2:12" x14ac:dyDescent="0.25">
      <c r="B21" s="8"/>
      <c r="D21" s="14" t="s">
        <v>12</v>
      </c>
      <c r="E21" s="15">
        <v>578820845</v>
      </c>
      <c r="F21" s="15">
        <v>639728567</v>
      </c>
      <c r="G21" s="15">
        <v>501346119</v>
      </c>
      <c r="H21" s="15">
        <v>500305155</v>
      </c>
      <c r="I21" s="15">
        <v>432238844</v>
      </c>
      <c r="L21" s="9"/>
    </row>
    <row r="22" spans="2:12" x14ac:dyDescent="0.25">
      <c r="B22" s="8"/>
      <c r="D22" s="14" t="s">
        <v>13</v>
      </c>
      <c r="E22" s="15">
        <v>571964973</v>
      </c>
      <c r="F22" s="15">
        <v>598641165</v>
      </c>
      <c r="G22" s="15">
        <v>452781991</v>
      </c>
      <c r="H22" s="15">
        <v>470854325</v>
      </c>
      <c r="I22" s="15">
        <v>461953403</v>
      </c>
      <c r="L22" s="9"/>
    </row>
    <row r="23" spans="2:12" x14ac:dyDescent="0.25">
      <c r="B23" s="8"/>
      <c r="D23" s="14" t="s">
        <v>14</v>
      </c>
      <c r="E23" s="15">
        <v>622613943</v>
      </c>
      <c r="F23" s="15">
        <v>602037067</v>
      </c>
      <c r="G23" s="15">
        <v>458405095</v>
      </c>
      <c r="H23" s="15">
        <v>506361396</v>
      </c>
      <c r="I23" s="15">
        <v>0</v>
      </c>
      <c r="L23" s="9"/>
    </row>
    <row r="24" spans="2:12" x14ac:dyDescent="0.25">
      <c r="B24" s="8"/>
      <c r="D24" s="14" t="s">
        <v>15</v>
      </c>
      <c r="E24" s="15">
        <v>666946718</v>
      </c>
      <c r="F24" s="15">
        <v>577307348</v>
      </c>
      <c r="G24" s="15">
        <v>464072251</v>
      </c>
      <c r="H24" s="15">
        <v>484227425</v>
      </c>
      <c r="I24" s="15">
        <v>0</v>
      </c>
      <c r="L24" s="9"/>
    </row>
    <row r="25" spans="2:12" x14ac:dyDescent="0.25">
      <c r="B25" s="8"/>
      <c r="D25" s="14" t="s">
        <v>16</v>
      </c>
      <c r="E25" s="15">
        <v>748789621</v>
      </c>
      <c r="F25" s="15">
        <v>641967456</v>
      </c>
      <c r="G25" s="15">
        <v>531419659</v>
      </c>
      <c r="H25" s="15">
        <v>531260195</v>
      </c>
      <c r="I25" s="15">
        <v>0</v>
      </c>
      <c r="L25" s="9"/>
    </row>
    <row r="26" spans="2:12" x14ac:dyDescent="0.25">
      <c r="B26" s="8"/>
      <c r="D26" s="4" t="s">
        <v>17</v>
      </c>
      <c r="E26" s="16">
        <v>7293077015</v>
      </c>
      <c r="F26" s="16">
        <v>7644642731</v>
      </c>
      <c r="G26" s="16">
        <v>6150755482</v>
      </c>
      <c r="H26" s="16">
        <v>5801814527</v>
      </c>
      <c r="I26" s="16">
        <v>3714541745</v>
      </c>
      <c r="L26" s="9"/>
    </row>
    <row r="27" spans="2:12" x14ac:dyDescent="0.25">
      <c r="B27" s="8"/>
      <c r="L27" s="9"/>
    </row>
    <row r="28" spans="2:12" x14ac:dyDescent="0.25">
      <c r="B28" s="8"/>
      <c r="L28" s="9"/>
    </row>
    <row r="29" spans="2:12" x14ac:dyDescent="0.25">
      <c r="B29" s="8"/>
      <c r="C29" s="26" t="s">
        <v>18</v>
      </c>
      <c r="D29" s="26"/>
      <c r="E29" s="26"/>
      <c r="F29" s="26"/>
      <c r="G29" s="26"/>
      <c r="H29" s="26"/>
      <c r="I29" s="26"/>
      <c r="L29" s="9"/>
    </row>
    <row r="30" spans="2:12" x14ac:dyDescent="0.25">
      <c r="B30" s="8"/>
      <c r="C30" s="26"/>
      <c r="D30" s="26"/>
      <c r="E30" s="26"/>
      <c r="F30" s="26"/>
      <c r="G30" s="26"/>
      <c r="H30" s="26"/>
      <c r="I30" s="26"/>
      <c r="L30" s="9"/>
    </row>
    <row r="31" spans="2:12" x14ac:dyDescent="0.25">
      <c r="B31" s="8"/>
      <c r="C31" s="26"/>
      <c r="D31" s="26"/>
      <c r="E31" s="26"/>
      <c r="F31" s="26"/>
      <c r="G31" s="26"/>
      <c r="H31" s="26"/>
      <c r="I31" s="26"/>
      <c r="L31" s="9"/>
    </row>
    <row r="32" spans="2:12" x14ac:dyDescent="0.25">
      <c r="B32" s="8"/>
      <c r="C32" s="26"/>
      <c r="D32" s="26"/>
      <c r="E32" s="26"/>
      <c r="F32" s="26"/>
      <c r="G32" s="26"/>
      <c r="H32" s="26"/>
      <c r="I32" s="26"/>
      <c r="L32" s="9"/>
    </row>
    <row r="33" spans="2:12" x14ac:dyDescent="0.25">
      <c r="B33" s="8"/>
      <c r="L33" s="9"/>
    </row>
    <row r="34" spans="2:12" x14ac:dyDescent="0.25">
      <c r="B34" s="8"/>
      <c r="L34" s="9"/>
    </row>
    <row r="35" spans="2:12" x14ac:dyDescent="0.25">
      <c r="B35" s="8"/>
      <c r="L35" s="9"/>
    </row>
    <row r="36" spans="2:12" x14ac:dyDescent="0.25">
      <c r="B36" s="8"/>
      <c r="L36" s="9"/>
    </row>
    <row r="37" spans="2:12" x14ac:dyDescent="0.25">
      <c r="B37" s="8"/>
      <c r="L37" s="9"/>
    </row>
    <row r="38" spans="2:12" x14ac:dyDescent="0.25">
      <c r="B38" s="8"/>
      <c r="L38" s="9"/>
    </row>
    <row r="39" spans="2:12" x14ac:dyDescent="0.25">
      <c r="B39" s="8"/>
      <c r="L39" s="9"/>
    </row>
    <row r="40" spans="2:12" x14ac:dyDescent="0.25">
      <c r="B40" s="8"/>
      <c r="L40" s="9"/>
    </row>
    <row r="41" spans="2:12" x14ac:dyDescent="0.25">
      <c r="B41" s="8"/>
      <c r="L41" s="9"/>
    </row>
    <row r="42" spans="2:12" x14ac:dyDescent="0.25">
      <c r="B42" s="8"/>
      <c r="L42" s="9"/>
    </row>
    <row r="43" spans="2:12" x14ac:dyDescent="0.25">
      <c r="B43" s="8"/>
      <c r="L43" s="9"/>
    </row>
    <row r="44" spans="2:12" x14ac:dyDescent="0.25">
      <c r="B44" s="8"/>
      <c r="L44" s="9"/>
    </row>
    <row r="45" spans="2:12" x14ac:dyDescent="0.25">
      <c r="B45" s="8"/>
      <c r="L45" s="9"/>
    </row>
    <row r="46" spans="2:12" x14ac:dyDescent="0.25">
      <c r="B46" s="8"/>
      <c r="L46" s="9"/>
    </row>
    <row r="47" spans="2:12" ht="23.25" customHeight="1" x14ac:dyDescent="0.25"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3"/>
    </row>
  </sheetData>
  <sheetProtection formatCells="0" formatColumns="0" formatRows="0" insertColumns="0" insertRows="0" insertHyperlinks="0" deleteColumns="0" deleteRows="0" sort="0" autoFilter="0" pivotTables="0"/>
  <mergeCells count="6">
    <mergeCell ref="D12:I12"/>
    <mergeCell ref="C29:I32"/>
    <mergeCell ref="C7:K8"/>
    <mergeCell ref="C10:D10"/>
    <mergeCell ref="C11:D11"/>
    <mergeCell ref="C9:J9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2"/>
  <sheetViews>
    <sheetView showGridLines="0" tabSelected="1" topLeftCell="A10" workbookViewId="0">
      <selection activeCell="N39" sqref="N39"/>
    </sheetView>
  </sheetViews>
  <sheetFormatPr defaultRowHeight="15" x14ac:dyDescent="0.25"/>
  <cols>
    <col min="1" max="1" width="5.7109375" customWidth="1"/>
    <col min="2" max="7" width="12.7109375" customWidth="1"/>
    <col min="8" max="8" width="12" bestFit="1" customWidth="1"/>
  </cols>
  <sheetData>
    <row r="2" spans="2:8" x14ac:dyDescent="0.25">
      <c r="B2" s="22" t="s">
        <v>19</v>
      </c>
      <c r="D2" s="17">
        <v>1000000</v>
      </c>
    </row>
    <row r="3" spans="2:8" x14ac:dyDescent="0.25">
      <c r="H3" s="30" t="s">
        <v>22</v>
      </c>
    </row>
    <row r="4" spans="2:8" x14ac:dyDescent="0.25">
      <c r="B4" s="2" t="s">
        <v>4</v>
      </c>
      <c r="C4" s="3">
        <v>2016</v>
      </c>
      <c r="D4" s="3">
        <v>2017</v>
      </c>
      <c r="E4" s="3">
        <v>2018</v>
      </c>
      <c r="F4" s="3">
        <v>2019</v>
      </c>
      <c r="G4" s="3">
        <v>2020</v>
      </c>
      <c r="H4" s="3">
        <v>2020</v>
      </c>
    </row>
    <row r="5" spans="2:8" x14ac:dyDescent="0.25">
      <c r="B5" s="24" t="s">
        <v>5</v>
      </c>
      <c r="C5" s="18">
        <f>'Dados Brutos'!E14/'Dados Tratados'!$D$2</f>
        <v>549.36789499999998</v>
      </c>
      <c r="D5" s="18">
        <f>'Dados Brutos'!F14/'Dados Tratados'!$D$2</f>
        <v>638.04405199999997</v>
      </c>
      <c r="E5" s="18">
        <f>'Dados Brutos'!G14/'Dados Tratados'!$D$2</f>
        <v>546.34479499999998</v>
      </c>
      <c r="F5" s="18">
        <f>'Dados Brutos'!H14/'Dados Tratados'!$D$2</f>
        <v>464.95195999999999</v>
      </c>
      <c r="G5" s="18">
        <f>'Dados Brutos'!I14/'Dados Tratados'!$D$2</f>
        <v>458.33323000000001</v>
      </c>
      <c r="H5" s="18">
        <v>458.33323000000001</v>
      </c>
    </row>
    <row r="6" spans="2:8" x14ac:dyDescent="0.25">
      <c r="B6" s="24" t="s">
        <v>6</v>
      </c>
      <c r="C6" s="18">
        <f>'Dados Brutos'!E15/'Dados Tratados'!$D$2</f>
        <v>596.90083200000004</v>
      </c>
      <c r="D6" s="18">
        <f>'Dados Brutos'!F15/'Dados Tratados'!$D$2</f>
        <v>645.41156999999998</v>
      </c>
      <c r="E6" s="18">
        <f>'Dados Brutos'!G15/'Dados Tratados'!$D$2</f>
        <v>531.53150300000004</v>
      </c>
      <c r="F6" s="18">
        <f>'Dados Brutos'!H15/'Dados Tratados'!$D$2</f>
        <v>451.496217</v>
      </c>
      <c r="G6" s="18">
        <f>'Dados Brutos'!I15/'Dados Tratados'!$D$2</f>
        <v>457.73739699999999</v>
      </c>
      <c r="H6" s="18">
        <v>457.73739699999999</v>
      </c>
    </row>
    <row r="7" spans="2:8" x14ac:dyDescent="0.25">
      <c r="B7" s="24" t="s">
        <v>7</v>
      </c>
      <c r="C7" s="18">
        <f>'Dados Brutos'!E16/'Dados Tratados'!$D$2</f>
        <v>655.66537400000004</v>
      </c>
      <c r="D7" s="18">
        <f>'Dados Brutos'!F16/'Dados Tratados'!$D$2</f>
        <v>702.76633200000003</v>
      </c>
      <c r="E7" s="18">
        <f>'Dados Brutos'!G16/'Dados Tratados'!$D$2</f>
        <v>616.296244</v>
      </c>
      <c r="F7" s="18">
        <f>'Dados Brutos'!H16/'Dados Tratados'!$D$2</f>
        <v>481.64072099999998</v>
      </c>
      <c r="G7" s="18">
        <f>'Dados Brutos'!I16/'Dados Tratados'!$D$2</f>
        <v>397.35163</v>
      </c>
      <c r="H7" s="18">
        <v>397.35163</v>
      </c>
    </row>
    <row r="8" spans="2:8" x14ac:dyDescent="0.25">
      <c r="B8" s="24" t="s">
        <v>8</v>
      </c>
      <c r="C8" s="18">
        <f>'Dados Brutos'!E17/'Dados Tratados'!$D$2</f>
        <v>626.82796499999995</v>
      </c>
      <c r="D8" s="18">
        <f>'Dados Brutos'!F17/'Dados Tratados'!$D$2</f>
        <v>647.28460199999995</v>
      </c>
      <c r="E8" s="18">
        <f>'Dados Brutos'!G17/'Dados Tratados'!$D$2</f>
        <v>566.44141100000002</v>
      </c>
      <c r="F8" s="18">
        <f>'Dados Brutos'!H17/'Dados Tratados'!$D$2</f>
        <v>491.95601499999998</v>
      </c>
      <c r="G8" s="18">
        <f>'Dados Brutos'!I17/'Dados Tratados'!$D$2</f>
        <v>318.79105800000002</v>
      </c>
      <c r="H8" s="18">
        <v>318.79105800000002</v>
      </c>
    </row>
    <row r="9" spans="2:8" x14ac:dyDescent="0.25">
      <c r="B9" s="24" t="s">
        <v>9</v>
      </c>
      <c r="C9" s="18">
        <f>'Dados Brutos'!E18/'Dados Tratados'!$D$2</f>
        <v>565.65716699999996</v>
      </c>
      <c r="D9" s="18">
        <f>'Dados Brutos'!F18/'Dados Tratados'!$D$2</f>
        <v>665.73978599999998</v>
      </c>
      <c r="E9" s="18">
        <f>'Dados Brutos'!G18/'Dados Tratados'!$D$2</f>
        <v>509.99240700000001</v>
      </c>
      <c r="F9" s="18">
        <f>'Dados Brutos'!H18/'Dados Tratados'!$D$2</f>
        <v>480.64165300000002</v>
      </c>
      <c r="G9" s="18">
        <f>'Dados Brutos'!I18/'Dados Tratados'!$D$2</f>
        <v>353.04286100000002</v>
      </c>
      <c r="H9" s="18">
        <v>353.04286100000002</v>
      </c>
    </row>
    <row r="10" spans="2:8" x14ac:dyDescent="0.25">
      <c r="B10" s="24" t="s">
        <v>10</v>
      </c>
      <c r="C10" s="18">
        <f>'Dados Brutos'!E19/'Dados Tratados'!$D$2</f>
        <v>557.53381100000001</v>
      </c>
      <c r="D10" s="18">
        <f>'Dados Brutos'!F19/'Dados Tratados'!$D$2</f>
        <v>652.53903500000001</v>
      </c>
      <c r="E10" s="18">
        <f>'Dados Brutos'!G19/'Dados Tratados'!$D$2</f>
        <v>516.97622200000001</v>
      </c>
      <c r="F10" s="18">
        <f>'Dados Brutos'!H19/'Dados Tratados'!$D$2</f>
        <v>454.04042500000003</v>
      </c>
      <c r="G10" s="18">
        <f>'Dados Brutos'!I19/'Dados Tratados'!$D$2</f>
        <v>391.80022000000002</v>
      </c>
      <c r="H10" s="18">
        <v>391.80022000000002</v>
      </c>
    </row>
    <row r="11" spans="2:8" x14ac:dyDescent="0.25">
      <c r="B11" s="24" t="s">
        <v>11</v>
      </c>
      <c r="C11" s="18">
        <f>'Dados Brutos'!E20/'Dados Tratados'!$D$2</f>
        <v>551.98787100000004</v>
      </c>
      <c r="D11" s="18">
        <f>'Dados Brutos'!F20/'Dados Tratados'!$D$2</f>
        <v>633.17575099999999</v>
      </c>
      <c r="E11" s="18">
        <f>'Dados Brutos'!G20/'Dados Tratados'!$D$2</f>
        <v>455.147785</v>
      </c>
      <c r="F11" s="18">
        <f>'Dados Brutos'!H20/'Dados Tratados'!$D$2</f>
        <v>484.07904000000002</v>
      </c>
      <c r="G11" s="18">
        <f>'Dados Brutos'!I20/'Dados Tratados'!$D$2</f>
        <v>443.29310199999998</v>
      </c>
      <c r="H11" s="18">
        <v>443.29310199999998</v>
      </c>
    </row>
    <row r="12" spans="2:8" x14ac:dyDescent="0.25">
      <c r="B12" s="24" t="s">
        <v>12</v>
      </c>
      <c r="C12" s="18">
        <f>'Dados Brutos'!E21/'Dados Tratados'!$D$2</f>
        <v>578.82084499999996</v>
      </c>
      <c r="D12" s="18">
        <f>'Dados Brutos'!F21/'Dados Tratados'!$D$2</f>
        <v>639.728567</v>
      </c>
      <c r="E12" s="18">
        <f>'Dados Brutos'!G21/'Dados Tratados'!$D$2</f>
        <v>501.34611899999999</v>
      </c>
      <c r="F12" s="18">
        <f>'Dados Brutos'!H21/'Dados Tratados'!$D$2</f>
        <v>500.30515500000001</v>
      </c>
      <c r="G12" s="18">
        <f>'Dados Brutos'!I21/'Dados Tratados'!$D$2</f>
        <v>432.23884399999997</v>
      </c>
      <c r="H12" s="18">
        <v>432.23884399999997</v>
      </c>
    </row>
    <row r="13" spans="2:8" x14ac:dyDescent="0.25">
      <c r="B13" s="24" t="s">
        <v>13</v>
      </c>
      <c r="C13" s="18">
        <f>'Dados Brutos'!E22/'Dados Tratados'!$D$2</f>
        <v>571.96497299999999</v>
      </c>
      <c r="D13" s="18">
        <f>'Dados Brutos'!F22/'Dados Tratados'!$D$2</f>
        <v>598.641165</v>
      </c>
      <c r="E13" s="18">
        <f>'Dados Brutos'!G22/'Dados Tratados'!$D$2</f>
        <v>452.781991</v>
      </c>
      <c r="F13" s="18">
        <f>'Dados Brutos'!H22/'Dados Tratados'!$D$2</f>
        <v>470.85432500000002</v>
      </c>
      <c r="G13" s="18">
        <f>'Dados Brutos'!I22/'Dados Tratados'!$D$2</f>
        <v>461.95340299999998</v>
      </c>
      <c r="H13" s="18">
        <v>461.95340299999998</v>
      </c>
    </row>
    <row r="14" spans="2:8" x14ac:dyDescent="0.25">
      <c r="B14" s="24" t="s">
        <v>14</v>
      </c>
      <c r="C14" s="18">
        <f>'Dados Brutos'!E23/'Dados Tratados'!$D$2</f>
        <v>622.61394299999995</v>
      </c>
      <c r="D14" s="18">
        <f>'Dados Brutos'!F23/'Dados Tratados'!$D$2</f>
        <v>602.03706699999998</v>
      </c>
      <c r="E14" s="18">
        <f>'Dados Brutos'!G23/'Dados Tratados'!$D$2</f>
        <v>458.40509500000002</v>
      </c>
      <c r="F14" s="18">
        <f>'Dados Brutos'!H23/'Dados Tratados'!$D$2</f>
        <v>506.36139600000001</v>
      </c>
      <c r="G14" s="20">
        <f>'Dados Brutos'!I23/'Dados Tratados'!$D$2</f>
        <v>0</v>
      </c>
      <c r="H14" s="20">
        <v>663.35199999999941</v>
      </c>
    </row>
    <row r="15" spans="2:8" x14ac:dyDescent="0.25">
      <c r="B15" s="24" t="s">
        <v>15</v>
      </c>
      <c r="C15" s="18">
        <f>'Dados Brutos'!E24/'Dados Tratados'!$D$2</f>
        <v>666.94671800000003</v>
      </c>
      <c r="D15" s="18">
        <f>'Dados Brutos'!F24/'Dados Tratados'!$D$2</f>
        <v>577.30734800000005</v>
      </c>
      <c r="E15" s="18">
        <f>'Dados Brutos'!G24/'Dados Tratados'!$D$2</f>
        <v>464.07225099999999</v>
      </c>
      <c r="F15" s="18">
        <f>'Dados Brutos'!H24/'Dados Tratados'!$D$2</f>
        <v>484.22742499999998</v>
      </c>
      <c r="G15" s="20">
        <f>'Dados Brutos'!I24/'Dados Tratados'!$D$2</f>
        <v>0</v>
      </c>
      <c r="H15" s="20">
        <v>1378.9759999999774</v>
      </c>
    </row>
    <row r="16" spans="2:8" x14ac:dyDescent="0.25">
      <c r="B16" s="24" t="s">
        <v>16</v>
      </c>
      <c r="C16" s="18">
        <f>'Dados Brutos'!E25/'Dados Tratados'!$D$2</f>
        <v>748.78962100000001</v>
      </c>
      <c r="D16" s="18">
        <f>'Dados Brutos'!F25/'Dados Tratados'!$D$2</f>
        <v>641.96745599999997</v>
      </c>
      <c r="E16" s="18">
        <f>'Dados Brutos'!G25/'Dados Tratados'!$D$2</f>
        <v>531.41965900000002</v>
      </c>
      <c r="F16" s="18">
        <f>'Dados Brutos'!H25/'Dados Tratados'!$D$2</f>
        <v>531.26019499999995</v>
      </c>
      <c r="G16" s="20">
        <f>'Dados Brutos'!I25/'Dados Tratados'!$D$2</f>
        <v>0</v>
      </c>
      <c r="H16" s="20">
        <v>3131.5639999999853</v>
      </c>
    </row>
    <row r="17" spans="2:8" x14ac:dyDescent="0.25">
      <c r="B17" s="4" t="s">
        <v>17</v>
      </c>
      <c r="C17" s="19">
        <f>SUM(C5:C16)</f>
        <v>7293.0770150000008</v>
      </c>
      <c r="D17" s="19">
        <f>SUM(D5:D16)</f>
        <v>7644.6427310000008</v>
      </c>
      <c r="E17" s="19">
        <f t="shared" ref="E17:G17" si="0">SUM(E5:E16)</f>
        <v>6150.7554819999996</v>
      </c>
      <c r="F17" s="19">
        <f t="shared" si="0"/>
        <v>5801.8145270000005</v>
      </c>
      <c r="G17" s="21">
        <f t="shared" si="0"/>
        <v>3714.5417450000004</v>
      </c>
      <c r="H17" s="21">
        <v>3714.5417450000004</v>
      </c>
    </row>
    <row r="24" spans="2:8" x14ac:dyDescent="0.25">
      <c r="C24" s="23"/>
    </row>
    <row r="25" spans="2:8" x14ac:dyDescent="0.25">
      <c r="C25" s="23"/>
    </row>
    <row r="26" spans="2:8" x14ac:dyDescent="0.25">
      <c r="C26" s="23"/>
    </row>
    <row r="38" spans="12:14" x14ac:dyDescent="0.25">
      <c r="M38" t="s">
        <v>23</v>
      </c>
      <c r="N38">
        <v>30</v>
      </c>
    </row>
    <row r="39" spans="12:14" x14ac:dyDescent="0.25">
      <c r="L39" t="s">
        <v>20</v>
      </c>
      <c r="M39" t="s">
        <v>21</v>
      </c>
    </row>
    <row r="40" spans="12:14" x14ac:dyDescent="0.25">
      <c r="L40">
        <v>10</v>
      </c>
      <c r="M40">
        <f>0.364*L40^5-9.772*L40^4+96.082*L40^3-412.84*L40^2+711.41*L40+71.252</f>
        <v>663.35199999999941</v>
      </c>
      <c r="N40">
        <f>-0.8629*L40^3+19.58*L40^2-119.18*L40+582.77</f>
        <v>486.06999999999971</v>
      </c>
    </row>
    <row r="41" spans="12:14" x14ac:dyDescent="0.25">
      <c r="L41">
        <v>11</v>
      </c>
      <c r="M41">
        <f>0.364*L41^5-9.772*L41^4+96.082*L41^3-412.84*L41^2+711.41*L41+71.252</f>
        <v>1378.9759999999774</v>
      </c>
      <c r="N41">
        <f t="shared" ref="N41:N42" si="1">-0.8629*L41^3+19.58*L41^2-119.18*L41+582.77</f>
        <v>492.45009999999979</v>
      </c>
    </row>
    <row r="42" spans="12:14" x14ac:dyDescent="0.25">
      <c r="L42">
        <v>12</v>
      </c>
      <c r="M42">
        <f>0.364*L42^5-9.772*L42^4+96.082*L42^3-412.84*L42^2+711.41*L42+71.252</f>
        <v>3131.5639999999853</v>
      </c>
      <c r="N42">
        <f t="shared" si="1"/>
        <v>481.03879999999936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Brutos</vt:lpstr>
      <vt:lpstr>Dados Tratados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marianaz</dc:creator>
  <cp:keywords/>
  <dc:description/>
  <cp:lastModifiedBy>Jones Egydio</cp:lastModifiedBy>
  <dcterms:created xsi:type="dcterms:W3CDTF">2011-07-28T17:08:36Z</dcterms:created>
  <dcterms:modified xsi:type="dcterms:W3CDTF">2024-03-04T03:19:17Z</dcterms:modified>
  <cp:category/>
</cp:coreProperties>
</file>